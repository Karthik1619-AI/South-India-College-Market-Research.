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lcotedu-my.sharepoint.com/personal/s0761982_edu_elcot_in/Documents/Desktop/"/>
    </mc:Choice>
  </mc:AlternateContent>
  <xr:revisionPtr revIDLastSave="51" documentId="8_{1F65EFDD-B7F9-4D2B-91E6-339C8052964B}" xr6:coauthVersionLast="47" xr6:coauthVersionMax="47" xr10:uidLastSave="{055B1AC8-DC37-483F-8E05-B76D5CC6DDF5}"/>
  <bookViews>
    <workbookView xWindow="-120" yWindow="-120" windowWidth="20730" windowHeight="11040" tabRatio="500" activeTab="4" xr2:uid="{00000000-000D-0000-FFFF-FFFF00000000}"/>
  </bookViews>
  <sheets>
    <sheet name="College Database" sheetId="1" r:id="rId1"/>
    <sheet name="State Summary" sheetId="2" r:id="rId2"/>
    <sheet name="Count" sheetId="3" r:id="rId3"/>
    <sheet name="Dashboard" sheetId="4" r:id="rId4"/>
    <sheet name="Char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4" l="1"/>
  <c r="B17" i="4"/>
  <c r="E16" i="4"/>
  <c r="B16" i="4"/>
  <c r="H15" i="4"/>
  <c r="E15" i="4"/>
  <c r="B15" i="4"/>
  <c r="H14" i="4"/>
  <c r="E14" i="4"/>
  <c r="B14" i="4"/>
  <c r="H11" i="4"/>
  <c r="H10" i="4"/>
  <c r="H9" i="4"/>
  <c r="B9" i="4"/>
  <c r="H8" i="4"/>
  <c r="B8" i="4"/>
  <c r="H7" i="4"/>
  <c r="E7" i="4"/>
  <c r="B7" i="4"/>
  <c r="H6" i="4"/>
  <c r="E6" i="4"/>
  <c r="B6" i="4"/>
  <c r="H5" i="4"/>
  <c r="E5" i="4"/>
  <c r="B5" i="4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B7" i="2"/>
  <c r="H6" i="2"/>
  <c r="G6" i="2"/>
  <c r="F6" i="2"/>
  <c r="E6" i="2"/>
  <c r="D6" i="2"/>
  <c r="C6" i="2"/>
  <c r="H5" i="2"/>
  <c r="G5" i="2"/>
  <c r="F5" i="2"/>
  <c r="E5" i="2"/>
  <c r="D5" i="2"/>
  <c r="C5" i="2"/>
  <c r="H4" i="2"/>
  <c r="G4" i="2"/>
  <c r="F4" i="2"/>
  <c r="E4" i="2"/>
  <c r="D4" i="2"/>
  <c r="C4" i="2"/>
  <c r="H3" i="2"/>
  <c r="G3" i="2"/>
  <c r="F3" i="2"/>
  <c r="E3" i="2"/>
  <c r="D3" i="2"/>
  <c r="C3" i="2"/>
  <c r="H2" i="2"/>
  <c r="G2" i="2"/>
  <c r="F2" i="2"/>
  <c r="E2" i="2"/>
  <c r="D2" i="2"/>
  <c r="C2" i="2"/>
  <c r="E7" i="2" l="1"/>
  <c r="G7" i="2"/>
  <c r="H7" i="2"/>
  <c r="F7" i="2"/>
  <c r="D7" i="2"/>
  <c r="C7" i="2"/>
</calcChain>
</file>

<file path=xl/sharedStrings.xml><?xml version="1.0" encoding="utf-8"?>
<sst xmlns="http://schemas.openxmlformats.org/spreadsheetml/2006/main" count="6587" uniqueCount="2507">
  <si>
    <t>S.No</t>
  </si>
  <si>
    <t>College Name</t>
  </si>
  <si>
    <t>State</t>
  </si>
  <si>
    <t>City</t>
  </si>
  <si>
    <t>Tier</t>
  </si>
  <si>
    <t>Government/Private</t>
  </si>
  <si>
    <t>College Type</t>
  </si>
  <si>
    <t>Principal Name</t>
  </si>
  <si>
    <t>Principal Contact Number</t>
  </si>
  <si>
    <t>Principal Email ID</t>
  </si>
  <si>
    <t>Placement Officer Name</t>
  </si>
  <si>
    <t>Placement Officer Contact Number</t>
  </si>
  <si>
    <t>Placement Officer Email ID</t>
  </si>
  <si>
    <t>Courses Offered</t>
  </si>
  <si>
    <t>Student Strength</t>
  </si>
  <si>
    <t>NAAC Grade</t>
  </si>
  <si>
    <t>Placement Statistics</t>
  </si>
  <si>
    <t>Website URL</t>
  </si>
  <si>
    <t>Patrician College of Arts and Science</t>
  </si>
  <si>
    <t>Tamil Nadu</t>
  </si>
  <si>
    <t>Trichy</t>
  </si>
  <si>
    <t>Tier 1</t>
  </si>
  <si>
    <t>Private</t>
  </si>
  <si>
    <t>Autonomous College</t>
  </si>
  <si>
    <t>Dr. Divya Murthy</t>
  </si>
  <si>
    <t>divya.murthy@gmail.com</t>
  </si>
  <si>
    <t>Mr. Kumar Rao</t>
  </si>
  <si>
    <t>kumar.rao@outlook.com</t>
  </si>
  <si>
    <t>B.Sc Nursing</t>
  </si>
  <si>
    <t>B++</t>
  </si>
  <si>
    <t>www.patrcoll.edu.in</t>
  </si>
  <si>
    <t>Government Engineering College Tamil Nadu</t>
  </si>
  <si>
    <t>Nagapattinam</t>
  </si>
  <si>
    <t>Tier 2</t>
  </si>
  <si>
    <t>Government</t>
  </si>
  <si>
    <t>University</t>
  </si>
  <si>
    <t>Prof. Lakshmi Swamy</t>
  </si>
  <si>
    <t>lakshmi.swamy@gmail.com</t>
  </si>
  <si>
    <t>Mr. Lakshmi Nair</t>
  </si>
  <si>
    <t>lakshmi.nair@gmail.com</t>
  </si>
  <si>
    <t>LLB, LLM</t>
  </si>
  <si>
    <t>C</t>
  </si>
  <si>
    <t>www.goveengi.edu.in</t>
  </si>
  <si>
    <t>Vels Science and Technology College</t>
  </si>
  <si>
    <t>Theni</t>
  </si>
  <si>
    <t>Autonomous Institution</t>
  </si>
  <si>
    <t>Prof. Arjun Pillai</t>
  </si>
  <si>
    <t>arjun.pillai@gmail.com</t>
  </si>
  <si>
    <t>Mr. Senthil Menon</t>
  </si>
  <si>
    <t>senthil.menon@gmail.com</t>
  </si>
  <si>
    <t>BBA, MBA</t>
  </si>
  <si>
    <t>A</t>
  </si>
  <si>
    <t>www.velsscie.edu.in</t>
  </si>
  <si>
    <t>University College of Arts and Science</t>
  </si>
  <si>
    <t>Sivakasi</t>
  </si>
  <si>
    <t>Tier 3</t>
  </si>
  <si>
    <t>Dr. Ganesh Subramaniam</t>
  </si>
  <si>
    <t>ganesh.subramaniam@outlook.com</t>
  </si>
  <si>
    <t>Mr. Ganesh Acharya</t>
  </si>
  <si>
    <t>ganesh.acharya@yahoo.com</t>
  </si>
  <si>
    <t>B.Sc Agriculture</t>
  </si>
  <si>
    <t>A+</t>
  </si>
  <si>
    <t>www.univcoll.edu.in</t>
  </si>
  <si>
    <t>Prathyusha Engineering College</t>
  </si>
  <si>
    <t>Poonamallee, Chennai</t>
  </si>
  <si>
    <t>Dr.P.L.N.Ramesh</t>
  </si>
  <si>
    <t>pln.ramesh@prathyusha.edu.in</t>
  </si>
  <si>
    <t>Mr.J.Yuvaraj</t>
  </si>
  <si>
    <t>j.yuvaraj@prathyusha.edu.in</t>
  </si>
  <si>
    <t>B.E/B.Tech (CSE, ECE, EEE, Mechanical, Civil, IT)</t>
  </si>
  <si>
    <t>A++</t>
  </si>
  <si>
    <t>www.prathyusha.edu.in</t>
  </si>
  <si>
    <t>College of Engineering Guindy Anna University</t>
  </si>
  <si>
    <t>Prof. Kavitha Rao</t>
  </si>
  <si>
    <t>kavitha.rao@gmail.com</t>
  </si>
  <si>
    <t>Mr. Uma Pillai</t>
  </si>
  <si>
    <t>uma.pillai@gmail.com</t>
  </si>
  <si>
    <t>B</t>
  </si>
  <si>
    <t>www.collof.edu.in</t>
  </si>
  <si>
    <t>PSG College of Technology</t>
  </si>
  <si>
    <t>Namakkal</t>
  </si>
  <si>
    <t>Dr. Sundar Subramaniam</t>
  </si>
  <si>
    <t>sundar.subramaniam@yahoo.com</t>
  </si>
  <si>
    <t>lakshmi.nair@yahoo.com</t>
  </si>
  <si>
    <t>B.Tech (AI &amp; DS, IoT, Cyber Security)</t>
  </si>
  <si>
    <t>www.psgcoll.edu.in</t>
  </si>
  <si>
    <t>Sri Sivasubramaniya Nadar College of Engineering</t>
  </si>
  <si>
    <t>Thanjavur</t>
  </si>
  <si>
    <t>Dr. Mohan Verma</t>
  </si>
  <si>
    <t>mohan.verma@gmail.com</t>
  </si>
  <si>
    <t>Mr. Sunitha Kumar</t>
  </si>
  <si>
    <t>sunitha.kumar@outlook.com</t>
  </si>
  <si>
    <t>www.srisiva.edu.in</t>
  </si>
  <si>
    <t>Thiagarajar College of Engineering</t>
  </si>
  <si>
    <t>Dindigul</t>
  </si>
  <si>
    <t>Dr. Revathi Reddy</t>
  </si>
  <si>
    <t>revathi.reddy@gmail.com</t>
  </si>
  <si>
    <t>Mr. Shanti Subramaniam</t>
  </si>
  <si>
    <t>shanti.subramaniam@gmail.com</t>
  </si>
  <si>
    <t>B.Sc (CS, IT, Physics, Chemistry)</t>
  </si>
  <si>
    <t>www.thiacoll.edu.in</t>
  </si>
  <si>
    <t>Kalasalingam Academy of Research and Higher Education</t>
  </si>
  <si>
    <t>Deemed University</t>
  </si>
  <si>
    <t>Prof. Sundar Rao</t>
  </si>
  <si>
    <t>sundar.rao@gmail.com</t>
  </si>
  <si>
    <t>Mr. Lakshmi Kumar</t>
  </si>
  <si>
    <t>lakshmi.kumar@outlook.com</t>
  </si>
  <si>
    <t>B.Ed, M.Ed</t>
  </si>
  <si>
    <t>www.kalaacad.edu.in</t>
  </si>
  <si>
    <t>Coimbatore Institute of Technology</t>
  </si>
  <si>
    <t>Madurai</t>
  </si>
  <si>
    <t>Dr. Vikram Patil</t>
  </si>
  <si>
    <t>vikram.patil@gmail.com</t>
  </si>
  <si>
    <t>Mr. Ravi Krishnan</t>
  </si>
  <si>
    <t>ravi.krishnan@outlook.com</t>
  </si>
  <si>
    <t>www.coiminst.edu.in</t>
  </si>
  <si>
    <t>Karunya Institute of Technology and Sciences</t>
  </si>
  <si>
    <t>Dr. Prakash Murthy</t>
  </si>
  <si>
    <t>prakash.murthy@yahoo.com</t>
  </si>
  <si>
    <t>www.karuinst.edu.in</t>
  </si>
  <si>
    <t>Kumaraguru College of Technology</t>
  </si>
  <si>
    <t>Dr. Mahesh Subramaniam</t>
  </si>
  <si>
    <t>mahesh.subramaniam@gmail.com</t>
  </si>
  <si>
    <t>Mr. Bharat Naidu</t>
  </si>
  <si>
    <t>bharat.naidu@yahoo.com</t>
  </si>
  <si>
    <t>www.kumacoll.edu.in</t>
  </si>
  <si>
    <t>Vel Tech Rangarajan Dr Sagunthala R&amp;D Institute of Science and Technology</t>
  </si>
  <si>
    <t>Coimbatore</t>
  </si>
  <si>
    <t>Prof. Mohan Iyer</t>
  </si>
  <si>
    <t>mohan.iyer@yahoo.com</t>
  </si>
  <si>
    <t>Mr. Mahesh Krishnan</t>
  </si>
  <si>
    <t>mahesh.krishnan@outlook.com</t>
  </si>
  <si>
    <t>www.veltech.edu.in</t>
  </si>
  <si>
    <t>Mepco Schlenk Engineering College</t>
  </si>
  <si>
    <t>Dr. Anand Varma</t>
  </si>
  <si>
    <t>anand.varma@gmail.com</t>
  </si>
  <si>
    <t>Mr. Bharat Chandran</t>
  </si>
  <si>
    <t>bharat.chandran@gmail.com</t>
  </si>
  <si>
    <t>B.Pharm, M.Pharm</t>
  </si>
  <si>
    <t>B+</t>
  </si>
  <si>
    <t>www.mepcschl.edu.in</t>
  </si>
  <si>
    <t>Government College of Technology Coimbatore</t>
  </si>
  <si>
    <t>Prof. Bharat Swamy</t>
  </si>
  <si>
    <t>bharat.swamy@yahoo.com</t>
  </si>
  <si>
    <t>Mr. Murthy Acharya</t>
  </si>
  <si>
    <t>murthy.acharya@yahoo.com</t>
  </si>
  <si>
    <t>MBBS, MD</t>
  </si>
  <si>
    <t>www.govecoll.edu.in</t>
  </si>
  <si>
    <t>Hindustan Institute of Technology and Science</t>
  </si>
  <si>
    <t>Krishnagiri</t>
  </si>
  <si>
    <t>Dr. Kavitha Menon</t>
  </si>
  <si>
    <t>kavitha.menon@gmail.com</t>
  </si>
  <si>
    <t>Ms. Revathi Menon</t>
  </si>
  <si>
    <t>revathi.menon@outlook.com</t>
  </si>
  <si>
    <t>www.hindinst.edu.in</t>
  </si>
  <si>
    <t>Sri Krishna College of Engineering and Technology</t>
  </si>
  <si>
    <t>Affiliated College</t>
  </si>
  <si>
    <t>Prof. Kumar Swamy</t>
  </si>
  <si>
    <t>kumar.swamy@outlook.com</t>
  </si>
  <si>
    <t>Ms. Krishna Murthy</t>
  </si>
  <si>
    <t>krishna.murthy@gmail.com</t>
  </si>
  <si>
    <t>B.Com, M.Com</t>
  </si>
  <si>
    <t>www.srikris.edu.in</t>
  </si>
  <si>
    <t>Bannari Amman Institute of Technology</t>
  </si>
  <si>
    <t>Chennai</t>
  </si>
  <si>
    <t>Dr. Sundar Pillai</t>
  </si>
  <si>
    <t>sundar.pillai@outlook.com</t>
  </si>
  <si>
    <t>Mr. Revathi Murthy</t>
  </si>
  <si>
    <t>revathi.murthy@yahoo.com</t>
  </si>
  <si>
    <t>www.bannamma.edu.in</t>
  </si>
  <si>
    <t>Sona College of Technology</t>
  </si>
  <si>
    <t>Kanchipuram</t>
  </si>
  <si>
    <t>Dr. Priya Subramaniam</t>
  </si>
  <si>
    <t>priya.subramaniam@yahoo.com</t>
  </si>
  <si>
    <t>Mr. Mohan Rao</t>
  </si>
  <si>
    <t>mohan.rao@gmail.com</t>
  </si>
  <si>
    <t>www.sonacoll.edu.in</t>
  </si>
  <si>
    <t>S A Engineering College</t>
  </si>
  <si>
    <t>Tiruppur</t>
  </si>
  <si>
    <t>Prof. Suresh Patil</t>
  </si>
  <si>
    <t>suresh.patil@gmail.com</t>
  </si>
  <si>
    <t>Mr. Radha Verma</t>
  </si>
  <si>
    <t>radha.verma@yahoo.com</t>
  </si>
  <si>
    <t>www.sa.edu.in</t>
  </si>
  <si>
    <t>Madras Institute of Technology</t>
  </si>
  <si>
    <t>Erode</t>
  </si>
  <si>
    <t>Prof. Karthik Nair</t>
  </si>
  <si>
    <t>karthik.nair@yahoo.com</t>
  </si>
  <si>
    <t>Mr. Krishna Murthy</t>
  </si>
  <si>
    <t>www.madrinst.edu.in</t>
  </si>
  <si>
    <t>Loyola ICAM College of Engineering and Technology</t>
  </si>
  <si>
    <t>Dr. Sunitha Subramaniam</t>
  </si>
  <si>
    <t>sunitha.subramaniam@outlook.com</t>
  </si>
  <si>
    <t>Mr. Arjun Verma</t>
  </si>
  <si>
    <t>arjun.verma@yahoo.com</t>
  </si>
  <si>
    <t>BA, MA (English, History, Economics)</t>
  </si>
  <si>
    <t>www.loyoicam.edu.in</t>
  </si>
  <si>
    <t>Meenakshi Sundararajan Engineering College</t>
  </si>
  <si>
    <t>Prof. Ravi Iyer</t>
  </si>
  <si>
    <t>ravi.iyer@yahoo.com</t>
  </si>
  <si>
    <t>Mr. Latha Naidu</t>
  </si>
  <si>
    <t>latha.naidu@outlook.com</t>
  </si>
  <si>
    <t>B.Arch</t>
  </si>
  <si>
    <t>www.meensund.edu.in</t>
  </si>
  <si>
    <t>Meenakshi College of Engineering</t>
  </si>
  <si>
    <t>Dr. Padma Patil</t>
  </si>
  <si>
    <t>padma.patil@outlook.com</t>
  </si>
  <si>
    <t>Mr. Vijay Menon</t>
  </si>
  <si>
    <t>vijay.menon@outlook.com</t>
  </si>
  <si>
    <t>www.meencoll.edu.in</t>
  </si>
  <si>
    <t>R M K Engineering College</t>
  </si>
  <si>
    <t>Dr. Radha Bhat</t>
  </si>
  <si>
    <t>radha.bhat@outlook.com</t>
  </si>
  <si>
    <t>Mr. Arjun Chandran</t>
  </si>
  <si>
    <t>arjun.chandran@yahoo.com</t>
  </si>
  <si>
    <t>B.Tech (CSE, ECE, EEE, Mechanical, Civil)</t>
  </si>
  <si>
    <t>www.rm.edu.in</t>
  </si>
  <si>
    <t>Panimalar Engineering College</t>
  </si>
  <si>
    <t>Dr. Sundar Acharya</t>
  </si>
  <si>
    <t>sundar.acharya@gmail.com</t>
  </si>
  <si>
    <t>Ms. Sunitha Subramaniam</t>
  </si>
  <si>
    <t>www.paniengi.edu.in</t>
  </si>
  <si>
    <t>Velammal Engineering College</t>
  </si>
  <si>
    <t>Cuddalore</t>
  </si>
  <si>
    <t>Prof. Krishna Rao</t>
  </si>
  <si>
    <t>krishna.rao@outlook.com</t>
  </si>
  <si>
    <t>Ms. Sunitha Patil</t>
  </si>
  <si>
    <t>sunitha.patil@outlook.com</t>
  </si>
  <si>
    <t>www.velaengi.edu.in</t>
  </si>
  <si>
    <t>Easwari Engineering College</t>
  </si>
  <si>
    <t>Dr. Kumar Pillai</t>
  </si>
  <si>
    <t>kumar.pillai@yahoo.com</t>
  </si>
  <si>
    <t>Ms. Lakshmi Subramaniam</t>
  </si>
  <si>
    <t>lakshmi.subramaniam@yahoo.com</t>
  </si>
  <si>
    <t>www.easwengi.edu.in</t>
  </si>
  <si>
    <t>Sri Sairam Engineering College</t>
  </si>
  <si>
    <t>Prof. Murthy Chandran</t>
  </si>
  <si>
    <t>murthy.chandran@yahoo.com</t>
  </si>
  <si>
    <t>Mr. Revathi Varma</t>
  </si>
  <si>
    <t>revathi.varma@gmail.com</t>
  </si>
  <si>
    <t>www.srisair.edu.in</t>
  </si>
  <si>
    <t>Karpagam College of Engineering</t>
  </si>
  <si>
    <t>Puducherry</t>
  </si>
  <si>
    <t>Dr. Sushma Krishnan</t>
  </si>
  <si>
    <t>sushma.krishnan@outlook.com</t>
  </si>
  <si>
    <t>Mr. Karthik Pillai</t>
  </si>
  <si>
    <t>karthik.pillai@outlook.com</t>
  </si>
  <si>
    <t>www.karpcoll.edu.in</t>
  </si>
  <si>
    <t>Tamilnadu College of Engineering</t>
  </si>
  <si>
    <t>Prof. Vikram Bhat</t>
  </si>
  <si>
    <t>vikram.bhat@yahoo.com</t>
  </si>
  <si>
    <t>Mr. Shanti Kumar</t>
  </si>
  <si>
    <t>shanti.kumar@outlook.com</t>
  </si>
  <si>
    <t>www.tamicoll.edu.in</t>
  </si>
  <si>
    <t>K L N College of Engineering</t>
  </si>
  <si>
    <t>Dr. Bharat Reddy</t>
  </si>
  <si>
    <t>bharat.reddy@yahoo.com</t>
  </si>
  <si>
    <t>Mr. Sundar Krishnan</t>
  </si>
  <si>
    <t>sundar.krishnan@gmail.com</t>
  </si>
  <si>
    <t>www.kl.edu.in</t>
  </si>
  <si>
    <t>Mahalingam College of Engineering and Technology</t>
  </si>
  <si>
    <t>Prof. Latha Chandran</t>
  </si>
  <si>
    <t>latha.chandran@outlook.com</t>
  </si>
  <si>
    <t>Mr. Anand Krishnan</t>
  </si>
  <si>
    <t>anand.krishnan@outlook.com</t>
  </si>
  <si>
    <t>www.mahacoll.edu.in</t>
  </si>
  <si>
    <t>Infant Jesus College of Engineering</t>
  </si>
  <si>
    <t>Prof. Anand Gowda</t>
  </si>
  <si>
    <t>anand.gowda@outlook.com</t>
  </si>
  <si>
    <t>Ms. Ramesh Bhat</t>
  </si>
  <si>
    <t>ramesh.bhat@yahoo.com</t>
  </si>
  <si>
    <t>B.E (CSE, IT)</t>
  </si>
  <si>
    <t>www.infajesu.edu.in</t>
  </si>
  <si>
    <t>Institute of Road and Transport Technology</t>
  </si>
  <si>
    <t>Prof. Radha Bhat</t>
  </si>
  <si>
    <t>Mr. Vikram Sharma</t>
  </si>
  <si>
    <t>vikram.sharma@gmail.com</t>
  </si>
  <si>
    <t>www.instof.edu.in</t>
  </si>
  <si>
    <t>Annamalai University Faculty of Engineering and Technology</t>
  </si>
  <si>
    <t>Dr. Uma Iyer</t>
  </si>
  <si>
    <t>uma.iyer@yahoo.com</t>
  </si>
  <si>
    <t>Ms. Lakshmi Swamy</t>
  </si>
  <si>
    <t>lakshmi.swamy@outlook.com</t>
  </si>
  <si>
    <t>www.annauniv.edu.in</t>
  </si>
  <si>
    <t>Ultra College of Engineering and Technology</t>
  </si>
  <si>
    <t>Prof. Uma Acharya</t>
  </si>
  <si>
    <t>uma.acharya@gmail.com</t>
  </si>
  <si>
    <t>Mr. Sanjay Rao</t>
  </si>
  <si>
    <t>sanjay.rao@yahoo.com</t>
  </si>
  <si>
    <t>B.Sc (Mathematics, Statistics)</t>
  </si>
  <si>
    <t>www.ultrcoll.edu.in</t>
  </si>
  <si>
    <t>Vaigai College of Engineering</t>
  </si>
  <si>
    <t>krishna.rao@gmail.com</t>
  </si>
  <si>
    <t>Mr. Arjun Sharma</t>
  </si>
  <si>
    <t>arjun.sharma@gmail.com</t>
  </si>
  <si>
    <t>www.vaigcoll.edu.in</t>
  </si>
  <si>
    <t>Velammal College of Engineering and Technology</t>
  </si>
  <si>
    <t>Dr. Kavitha Naidu</t>
  </si>
  <si>
    <t>kavitha.naidu@yahoo.com</t>
  </si>
  <si>
    <t>Mr. Revathi Reddy</t>
  </si>
  <si>
    <t>revathi.reddy@yahoo.com</t>
  </si>
  <si>
    <t>www.velacoll.edu.in</t>
  </si>
  <si>
    <t>A V C College of Engineering</t>
  </si>
  <si>
    <t>Salem</t>
  </si>
  <si>
    <t>Prof. Geetha Sharma</t>
  </si>
  <si>
    <t>geetha.sharma@gmail.com</t>
  </si>
  <si>
    <t>Mr. Krishna Patil</t>
  </si>
  <si>
    <t>krishna.patil@gmail.com</t>
  </si>
  <si>
    <t>www.av.edu.in</t>
  </si>
  <si>
    <t>E G S Pillay Engineering College</t>
  </si>
  <si>
    <t>Mr. Senthil Gowda</t>
  </si>
  <si>
    <t>senthil.gowda@yahoo.com</t>
  </si>
  <si>
    <t>www.eg.edu.in</t>
  </si>
  <si>
    <t>Sembodai Rukmani Varadharajan Engineering College</t>
  </si>
  <si>
    <t>Dr. Ganesh Rao</t>
  </si>
  <si>
    <t>ganesh.rao@gmail.com</t>
  </si>
  <si>
    <t>Mr. Anand Naidu</t>
  </si>
  <si>
    <t>anand.naidu@gmail.com</t>
  </si>
  <si>
    <t>www.sembrukm.edu.in</t>
  </si>
  <si>
    <t>Sir Issac Newton College of Engineering and Technology</t>
  </si>
  <si>
    <t>Prof. Arjun Bhat</t>
  </si>
  <si>
    <t>arjun.bhat@gmail.com</t>
  </si>
  <si>
    <t>Mr. Senthil Reddy</t>
  </si>
  <si>
    <t>senthil.reddy@yahoo.com</t>
  </si>
  <si>
    <t>www.sirissa.edu.in</t>
  </si>
  <si>
    <t>Annai Mathammal Sheela Engineering College</t>
  </si>
  <si>
    <t>Prof. Sushma Swamy</t>
  </si>
  <si>
    <t>sushma.swamy@outlook.com</t>
  </si>
  <si>
    <t>Mr. Uma Acharya</t>
  </si>
  <si>
    <t>www.annamath.edu.in</t>
  </si>
  <si>
    <t>Kamaraj College of Engineering and Technology</t>
  </si>
  <si>
    <t>Dr. Naveen Patil</t>
  </si>
  <si>
    <t>naveen.patil@outlook.com</t>
  </si>
  <si>
    <t>Mr. Geetha Swamy</t>
  </si>
  <si>
    <t>geetha.swamy@gmail.com</t>
  </si>
  <si>
    <t>www.kamacoll.edu.in</t>
  </si>
  <si>
    <t>Jaya Engineering College</t>
  </si>
  <si>
    <t>Prof. Sanjay Chandran</t>
  </si>
  <si>
    <t>sanjay.chandran@outlook.com</t>
  </si>
  <si>
    <t>Mr. Radha Pillai</t>
  </si>
  <si>
    <t>radha.pillai@yahoo.com</t>
  </si>
  <si>
    <t>www.jayaengi.edu.in</t>
  </si>
  <si>
    <t>Rajalakshmi Engineering College</t>
  </si>
  <si>
    <t>Karur</t>
  </si>
  <si>
    <t>Mr. Vikram Subramaniam</t>
  </si>
  <si>
    <t>vikram.subramaniam@gmail.com</t>
  </si>
  <si>
    <t>www.rajaengi.edu.in</t>
  </si>
  <si>
    <t>Saveetha Engineering College</t>
  </si>
  <si>
    <t>Prof. Vijay Rao</t>
  </si>
  <si>
    <t>vijay.rao@gmail.com</t>
  </si>
  <si>
    <t>Ms. Sundar Reddy</t>
  </si>
  <si>
    <t>sundar.reddy@yahoo.com</t>
  </si>
  <si>
    <t>www.saveengi.edu.in</t>
  </si>
  <si>
    <t>Sathyabama Institute of Science and Technology</t>
  </si>
  <si>
    <t>Dr. Anand Swamy</t>
  </si>
  <si>
    <t>anand.swamy@yahoo.com</t>
  </si>
  <si>
    <t>Ms. Padma Swamy</t>
  </si>
  <si>
    <t>padma.swamy@gmail.com</t>
  </si>
  <si>
    <t>www.sathinst.edu.in</t>
  </si>
  <si>
    <t>SSN College of Engineering</t>
  </si>
  <si>
    <t>Prof. Revathi Chandran</t>
  </si>
  <si>
    <t>revathi.chandran@yahoo.com</t>
  </si>
  <si>
    <t>Ms. Arjun Rao</t>
  </si>
  <si>
    <t>arjun.rao@outlook.com</t>
  </si>
  <si>
    <t>www.ssncoll.edu.in</t>
  </si>
  <si>
    <t>Government Arts College Coimbatore</t>
  </si>
  <si>
    <t>Dr. Uma Murthy</t>
  </si>
  <si>
    <t>uma.murthy@gmail.com</t>
  </si>
  <si>
    <t>www.govearts.edu.in</t>
  </si>
  <si>
    <t>Government Arts and Science College Mettupalayam</t>
  </si>
  <si>
    <t>Prof. Sushma Pillai</t>
  </si>
  <si>
    <t>sushma.pillai@yahoo.com</t>
  </si>
  <si>
    <t>Mr. Revathi Chandran</t>
  </si>
  <si>
    <t>Quaid-E-Millath Government College for Women</t>
  </si>
  <si>
    <t>Dr. Geetha Naidu</t>
  </si>
  <si>
    <t>geetha.naidu@outlook.com</t>
  </si>
  <si>
    <t>Ms. Karthik Murthy</t>
  </si>
  <si>
    <t>karthik.murthy@yahoo.com</t>
  </si>
  <si>
    <t>Government Arts and Science College Alandur</t>
  </si>
  <si>
    <t>Prof. Bharat Patil</t>
  </si>
  <si>
    <t>bharat.patil@outlook.com</t>
  </si>
  <si>
    <t>Mr. Senthil Acharya</t>
  </si>
  <si>
    <t>senthil.acharya@outlook.com</t>
  </si>
  <si>
    <t>Cheran College of Engineering</t>
  </si>
  <si>
    <t>Prof. Divya Swamy</t>
  </si>
  <si>
    <t>divya.swamy@yahoo.com</t>
  </si>
  <si>
    <t>Ms. Arjun Chandran</t>
  </si>
  <si>
    <t>www.chercoll.edu.in</t>
  </si>
  <si>
    <t>V S B Engineering College</t>
  </si>
  <si>
    <t>Dr. Uma Menon</t>
  </si>
  <si>
    <t>uma.menon@gmail.com</t>
  </si>
  <si>
    <t>Mr. Priya Rao</t>
  </si>
  <si>
    <t>priya.rao@outlook.com</t>
  </si>
  <si>
    <t>www.vs.edu.in</t>
  </si>
  <si>
    <t>Chettinad College of Engineering and Technology</t>
  </si>
  <si>
    <t>Dr. Vijay Menon</t>
  </si>
  <si>
    <t>vijay.menon@yahoo.com</t>
  </si>
  <si>
    <t>Mr. Anitha Naidu</t>
  </si>
  <si>
    <t>anitha.naidu@gmail.com</t>
  </si>
  <si>
    <t>www.chetcoll.edu.in</t>
  </si>
  <si>
    <t>Karur College of Engineering</t>
  </si>
  <si>
    <t>Dr. Radha Pillai</t>
  </si>
  <si>
    <t>radha.pillai@gmail.com</t>
  </si>
  <si>
    <t>Mr. Sushma Subramaniam</t>
  </si>
  <si>
    <t>sushma.subramaniam@yahoo.com</t>
  </si>
  <si>
    <t>www.karucoll.edu.in</t>
  </si>
  <si>
    <t>V K S College of Engineering and Technology</t>
  </si>
  <si>
    <t>Prof. Prakash Rao</t>
  </si>
  <si>
    <t>prakash.rao@yahoo.com</t>
  </si>
  <si>
    <t>Mr. Meena Varma</t>
  </si>
  <si>
    <t>meena.varma@gmail.com</t>
  </si>
  <si>
    <t>www.vk.edu.in</t>
  </si>
  <si>
    <t>Nelliandavar Institute of Technology</t>
  </si>
  <si>
    <t>Dr. Prakash Rao</t>
  </si>
  <si>
    <t>prakash.rao@outlook.com</t>
  </si>
  <si>
    <t>Mr. Latha Acharya</t>
  </si>
  <si>
    <t>latha.acharya@yahoo.com</t>
  </si>
  <si>
    <t>www.nellinst.edu.in</t>
  </si>
  <si>
    <t>Jawahar Engineering College</t>
  </si>
  <si>
    <t>Prof. Bharat Verma</t>
  </si>
  <si>
    <t>bharat.verma@gmail.com</t>
  </si>
  <si>
    <t>Mr. Kavitha Subramaniam</t>
  </si>
  <si>
    <t>kavitha.subramaniam@outlook.com</t>
  </si>
  <si>
    <t>www.jawaengi.edu.in</t>
  </si>
  <si>
    <t>Asian College of Engineering and Technology</t>
  </si>
  <si>
    <t>Dr. Mahesh Sharma</t>
  </si>
  <si>
    <t>mahesh.sharma@gmail.com</t>
  </si>
  <si>
    <t>Mr. Kumar Pillai</t>
  </si>
  <si>
    <t>kumar.pillai@outlook.com</t>
  </si>
  <si>
    <t>www.asiacoll.edu.in</t>
  </si>
  <si>
    <t>Rathinam Technical Campus</t>
  </si>
  <si>
    <t>Vellore</t>
  </si>
  <si>
    <t>Dr. Revathi Swamy</t>
  </si>
  <si>
    <t>revathi.swamy@gmail.com</t>
  </si>
  <si>
    <t>Mr. Karthik Reddy</t>
  </si>
  <si>
    <t>karthik.reddy@gmail.com</t>
  </si>
  <si>
    <t>www.rathtech.edu.in</t>
  </si>
  <si>
    <t>GR Educational and Research Institute</t>
  </si>
  <si>
    <t>Dr. Shanti Acharya</t>
  </si>
  <si>
    <t>shanti.acharya@yahoo.com</t>
  </si>
  <si>
    <t>Mr. Prakash Acharya</t>
  </si>
  <si>
    <t>prakash.acharya@outlook.com</t>
  </si>
  <si>
    <t>www.greduc.edu.in</t>
  </si>
  <si>
    <t>M K Engineering College</t>
  </si>
  <si>
    <t>Dr. Uma Acharya</t>
  </si>
  <si>
    <t>www.mk.edu.in</t>
  </si>
  <si>
    <t>S Abdur Rahman Crescent Institute of Science and Technology</t>
  </si>
  <si>
    <t>sundar.subramaniam@outlook.com</t>
  </si>
  <si>
    <t>Mr. Divya Acharya</t>
  </si>
  <si>
    <t>divya.acharya@gmail.com</t>
  </si>
  <si>
    <t>www.sabdu.edu.in</t>
  </si>
  <si>
    <t>Indian Institute of Information Technology Design and Manufacturing Kancheepuram</t>
  </si>
  <si>
    <t>Dr. Shanti Pillai</t>
  </si>
  <si>
    <t>shanti.pillai@gmail.com</t>
  </si>
  <si>
    <t>Mr. Vijay Bhat</t>
  </si>
  <si>
    <t>vijay.bhat@gmail.com</t>
  </si>
  <si>
    <t>www.indiinst.edu.in</t>
  </si>
  <si>
    <t>Sri Sivasubramaniya Nadar College of Engineering - Krishnagiri Campus</t>
  </si>
  <si>
    <t>Prof. Mahesh Menon</t>
  </si>
  <si>
    <t>mahesh.menon@outlook.com</t>
  </si>
  <si>
    <t>Ms. Priya Nair</t>
  </si>
  <si>
    <t>priya.nair@outlook.com</t>
  </si>
  <si>
    <t>BCA, MCA</t>
  </si>
  <si>
    <t>Vel Tech Rangarajan Dr Sagunthala R&amp;D Institute of Science and Technology - Dindigul Campus</t>
  </si>
  <si>
    <t>Dr. Vikram Kumar</t>
  </si>
  <si>
    <t>vikram.kumar@gmail.com</t>
  </si>
  <si>
    <t>Ms. Murthy Sharma</t>
  </si>
  <si>
    <t>murthy.sharma@yahoo.com</t>
  </si>
  <si>
    <t>Government Arts College Coimbatore - Madurai Campus</t>
  </si>
  <si>
    <t>Prof. Lakshmi Naidu</t>
  </si>
  <si>
    <t>lakshmi.naidu@yahoo.com</t>
  </si>
  <si>
    <t>Ms. Meena Krishnan</t>
  </si>
  <si>
    <t>meena.krishnan@outlook.com</t>
  </si>
  <si>
    <t>PSG College of Technology - Madurai Campus</t>
  </si>
  <si>
    <t>Dr. Priya Bhat</t>
  </si>
  <si>
    <t>priya.bhat@gmail.com</t>
  </si>
  <si>
    <t>Ms. Uma Gowda</t>
  </si>
  <si>
    <t>uma.gowda@outlook.com</t>
  </si>
  <si>
    <t>Sri Sivasubramaniya Nadar College of Engineering - Chennai Campus</t>
  </si>
  <si>
    <t>Prof. Divya Naidu</t>
  </si>
  <si>
    <t>divya.naidu@gmail.com</t>
  </si>
  <si>
    <t>Ms. Revathi Rao</t>
  </si>
  <si>
    <t>revathi.rao@outlook.com</t>
  </si>
  <si>
    <t>College of Engineering Guindy Anna University - Namakkal Campus</t>
  </si>
  <si>
    <t>Prof. Sanjay Nair</t>
  </si>
  <si>
    <t>sanjay.nair@yahoo.com</t>
  </si>
  <si>
    <t>Mr. Meena Naidu</t>
  </si>
  <si>
    <t>meena.naidu@outlook.com</t>
  </si>
  <si>
    <t>Cheran College of Engineering - Trichy Campus</t>
  </si>
  <si>
    <t>Prof. Senthil Sharma</t>
  </si>
  <si>
    <t>senthil.sharma@gmail.com</t>
  </si>
  <si>
    <t>Mr. Padma Nair</t>
  </si>
  <si>
    <t>padma.nair@outlook.com</t>
  </si>
  <si>
    <t>Bannari Amman Institute of Technology - Vellore Campus</t>
  </si>
  <si>
    <t>Prof. Radha Krishnan</t>
  </si>
  <si>
    <t>radha.krishnan@outlook.com</t>
  </si>
  <si>
    <t>Ms. Meena Sharma</t>
  </si>
  <si>
    <t>meena.sharma@gmail.com</t>
  </si>
  <si>
    <t>Vaigai College of Engineering - Thanjavur Campus</t>
  </si>
  <si>
    <t>Prof. Sanjay Pillai</t>
  </si>
  <si>
    <t>sanjay.pillai@outlook.com</t>
  </si>
  <si>
    <t>Mr. Padma Chandran</t>
  </si>
  <si>
    <t>padma.chandran@yahoo.com</t>
  </si>
  <si>
    <t>Nelliandavar Institute of Technology - Cuddalore Campus</t>
  </si>
  <si>
    <t>Dr. Geetha Acharya</t>
  </si>
  <si>
    <t>geetha.acharya@outlook.com</t>
  </si>
  <si>
    <t>Mr. Ganesh Verma</t>
  </si>
  <si>
    <t>ganesh.verma@yahoo.com</t>
  </si>
  <si>
    <t>Sir Issac Newton College of Engineering and Technology - Theni Campus</t>
  </si>
  <si>
    <t>Prof. Krishna Varma</t>
  </si>
  <si>
    <t>krishna.varma@gmail.com</t>
  </si>
  <si>
    <t>Ms. Vijay Krishnan</t>
  </si>
  <si>
    <t>vijay.krishnan@outlook.com</t>
  </si>
  <si>
    <t>SSN College of Engineering - Salem Campus</t>
  </si>
  <si>
    <t>Dr. Sunitha Pillai</t>
  </si>
  <si>
    <t>sunitha.pillai@outlook.com</t>
  </si>
  <si>
    <t>Mr. Divya Gowda</t>
  </si>
  <si>
    <t>divya.gowda@yahoo.com</t>
  </si>
  <si>
    <t>Velammal Engineering College - Tiruppur Campus</t>
  </si>
  <si>
    <t>Dr. Padma Subramaniam</t>
  </si>
  <si>
    <t>padma.subramaniam@outlook.com</t>
  </si>
  <si>
    <t>Mr. Suresh Sharma</t>
  </si>
  <si>
    <t>suresh.sharma@outlook.com</t>
  </si>
  <si>
    <t>S A Engineering College - Tirunelveli Campus</t>
  </si>
  <si>
    <t>Prof. Sanjay Acharya</t>
  </si>
  <si>
    <t>sanjay.acharya@gmail.com</t>
  </si>
  <si>
    <t>Mr. Bharat Menon</t>
  </si>
  <si>
    <t>bharat.menon@yahoo.com</t>
  </si>
  <si>
    <t>Annamalai University Faculty of Engineering and Technology - Karur Campus</t>
  </si>
  <si>
    <t>Dr. Shanti Verma</t>
  </si>
  <si>
    <t>shanti.verma@outlook.com</t>
  </si>
  <si>
    <t>Mr. Sunitha Nair</t>
  </si>
  <si>
    <t>sunitha.nair@yahoo.com</t>
  </si>
  <si>
    <t>Chettinad College of Engineering and Technology - Cuddalore Campus</t>
  </si>
  <si>
    <t>Prof. Padma Verma</t>
  </si>
  <si>
    <t>padma.verma@gmail.com</t>
  </si>
  <si>
    <t>Ms. Vijay Verma</t>
  </si>
  <si>
    <t>vijay.verma@gmail.com</t>
  </si>
  <si>
    <t>Sembodai Rukmani Varadharajan Engineering College - Salem Campus</t>
  </si>
  <si>
    <t>Dr. Karthik Swamy</t>
  </si>
  <si>
    <t>karthik.swamy@gmail.com</t>
  </si>
  <si>
    <t>Mr. Sunitha Bhat</t>
  </si>
  <si>
    <t>sunitha.bhat@gmail.com</t>
  </si>
  <si>
    <t>PSG College of Technology - Vellore Campus</t>
  </si>
  <si>
    <t>Dr. Padma Krishnan</t>
  </si>
  <si>
    <t>padma.krishnan@gmail.com</t>
  </si>
  <si>
    <t>Mr. Mohan Menon</t>
  </si>
  <si>
    <t>mohan.menon@yahoo.com</t>
  </si>
  <si>
    <t>Quaid-E-Millath Government College for Women - Tirunelveli Campus</t>
  </si>
  <si>
    <t>Prof. Kavitha Swamy</t>
  </si>
  <si>
    <t>kavitha.swamy@outlook.com</t>
  </si>
  <si>
    <t>Mr. Priya Pillai</t>
  </si>
  <si>
    <t>priya.pillai@yahoo.com</t>
  </si>
  <si>
    <t>Dr. Anand Acharya</t>
  </si>
  <si>
    <t>anand.acharya@gmail.com</t>
  </si>
  <si>
    <t>Ms. Arjun Murthy</t>
  </si>
  <si>
    <t>arjun.murthy@gmail.com</t>
  </si>
  <si>
    <t>SSN College of Engineering - Nagapattinam Campus</t>
  </si>
  <si>
    <t>Prof. Vikram Nair</t>
  </si>
  <si>
    <t>vikram.nair@yahoo.com</t>
  </si>
  <si>
    <t>Ms. Sushma Acharya</t>
  </si>
  <si>
    <t>sushma.acharya@yahoo.com</t>
  </si>
  <si>
    <t>Rathinam Technical Campus - Dindigul Campus</t>
  </si>
  <si>
    <t>Dr. Revathi Menon</t>
  </si>
  <si>
    <t>revathi.menon@yahoo.com</t>
  </si>
  <si>
    <t>Mr. Vijay Sharma</t>
  </si>
  <si>
    <t>vijay.sharma@outlook.com</t>
  </si>
  <si>
    <t>Government Arts and Science College Alandur - Tirunelveli Campus</t>
  </si>
  <si>
    <t>Dr. Anand Chandran</t>
  </si>
  <si>
    <t>anand.chandran@yahoo.com</t>
  </si>
  <si>
    <t>Mr. Ganesh Kumar</t>
  </si>
  <si>
    <t>ganesh.kumar@gmail.com</t>
  </si>
  <si>
    <t>Karpagam College of Engineering - Dindigul Campus</t>
  </si>
  <si>
    <t>Prof. Geetha Pillai</t>
  </si>
  <si>
    <t>geetha.pillai@outlook.com</t>
  </si>
  <si>
    <t>Mr. Sunitha Verma</t>
  </si>
  <si>
    <t>sunitha.verma@yahoo.com</t>
  </si>
  <si>
    <t>Mepco Schlenk Engineering College - Chennai Campus</t>
  </si>
  <si>
    <t>Tirunelveli</t>
  </si>
  <si>
    <t>Prof. Kumar Varma</t>
  </si>
  <si>
    <t>kumar.varma@yahoo.com</t>
  </si>
  <si>
    <t>Mr. Uma Iyer</t>
  </si>
  <si>
    <t>uma.iyer@gmail.com</t>
  </si>
  <si>
    <t>V S B Engineering College - Madurai Campus</t>
  </si>
  <si>
    <t>Dr. Kavitha Gowda</t>
  </si>
  <si>
    <t>kavitha.gowda@gmail.com</t>
  </si>
  <si>
    <t>Mr. Arjun Reddy</t>
  </si>
  <si>
    <t>arjun.reddy@gmail.com</t>
  </si>
  <si>
    <t>Rajalakshmi Engineering College - Sivakasi Campus</t>
  </si>
  <si>
    <t>Prof. Sunitha Bhat</t>
  </si>
  <si>
    <t>sunitha.bhat@yahoo.com</t>
  </si>
  <si>
    <t>Mr. Anand Reddy</t>
  </si>
  <si>
    <t>anand.reddy@yahoo.com</t>
  </si>
  <si>
    <t>S Abdur Rahman Crescent Institute of Science and Technology - Dindigul Campus</t>
  </si>
  <si>
    <t>Dr. Sundar Gowda</t>
  </si>
  <si>
    <t>sundar.gowda@gmail.com</t>
  </si>
  <si>
    <t>Ms. Ganesh Naidu</t>
  </si>
  <si>
    <t>ganesh.naidu@yahoo.com</t>
  </si>
  <si>
    <t>K L N College of Engineering - Erode Campus</t>
  </si>
  <si>
    <t>Dr. Ganesh Varma</t>
  </si>
  <si>
    <t>ganesh.varma@outlook.com</t>
  </si>
  <si>
    <t>Mr. Lakshmi Krishnan</t>
  </si>
  <si>
    <t>lakshmi.krishnan@gmail.com</t>
  </si>
  <si>
    <t>Mahalingam College of Engineering and Technology - Erode Campus</t>
  </si>
  <si>
    <t>Prof. Shanti Rao</t>
  </si>
  <si>
    <t>shanti.rao@outlook.com</t>
  </si>
  <si>
    <t>Ms. Murthy Acharya</t>
  </si>
  <si>
    <t>murthy.acharya@gmail.com</t>
  </si>
  <si>
    <t>Jawahar Engineering College - Sivakasi Campus</t>
  </si>
  <si>
    <t>Prof. Padma Subramaniam</t>
  </si>
  <si>
    <t>padma.subramaniam@gmail.com</t>
  </si>
  <si>
    <t>Ms. Bharat Acharya</t>
  </si>
  <si>
    <t>bharat.acharya@gmail.com</t>
  </si>
  <si>
    <t>Kumaraguru College of Technology - Coimbatore Campus</t>
  </si>
  <si>
    <t>Prof. Arjun Naidu</t>
  </si>
  <si>
    <t>arjun.naidu@yahoo.com</t>
  </si>
  <si>
    <t>Mr. Radha Patil</t>
  </si>
  <si>
    <t>radha.patil@yahoo.com</t>
  </si>
  <si>
    <t>AMC Engineering College</t>
  </si>
  <si>
    <t>Karnataka</t>
  </si>
  <si>
    <t>Kolar</t>
  </si>
  <si>
    <t>Prof. Sanjay Subramaniam</t>
  </si>
  <si>
    <t>sanjay.subramaniam@gmail.com</t>
  </si>
  <si>
    <t>Mr. Divya Reddy</t>
  </si>
  <si>
    <t>divya.reddy@yahoo.com</t>
  </si>
  <si>
    <t>www.amcengi.edu.in</t>
  </si>
  <si>
    <t>BMS Institute of Technology and Management</t>
  </si>
  <si>
    <t>Mysore</t>
  </si>
  <si>
    <t>Prof. Padma Acharya</t>
  </si>
  <si>
    <t>padma.acharya@outlook.com</t>
  </si>
  <si>
    <t>sundar.reddy@gmail.com</t>
  </si>
  <si>
    <t>www.bmsinst.edu.in</t>
  </si>
  <si>
    <t>New Horizon College of Engineering</t>
  </si>
  <si>
    <t>Raichur</t>
  </si>
  <si>
    <t>Dr. Lakshmi Patil</t>
  </si>
  <si>
    <t>lakshmi.patil@outlook.com</t>
  </si>
  <si>
    <t>Ms. Mohan Varma</t>
  </si>
  <si>
    <t>mohan.varma@outlook.com</t>
  </si>
  <si>
    <t>www.newhori.edu.in</t>
  </si>
  <si>
    <t>Sir M Visvesvaraya Institute of Technology</t>
  </si>
  <si>
    <t>Bijapur</t>
  </si>
  <si>
    <t>Prof. Murthy Patil</t>
  </si>
  <si>
    <t>murthy.patil@gmail.com</t>
  </si>
  <si>
    <t>Ms. Lakshmi Nair</t>
  </si>
  <si>
    <t>www.sirm.edu.in</t>
  </si>
  <si>
    <t>RV College of Engineering</t>
  </si>
  <si>
    <t>Bidar</t>
  </si>
  <si>
    <t>Prof. Mohan Rao</t>
  </si>
  <si>
    <t>Mr. Sundar Iyer</t>
  </si>
  <si>
    <t>sundar.iyer@gmail.com</t>
  </si>
  <si>
    <t>www.rvcoll.edu.in</t>
  </si>
  <si>
    <t>BMS College of Engineering</t>
  </si>
  <si>
    <t>Udupi</t>
  </si>
  <si>
    <t>Dr. Meena Patil</t>
  </si>
  <si>
    <t>meena.patil@outlook.com</t>
  </si>
  <si>
    <t>Ms. Meena Naidu</t>
  </si>
  <si>
    <t>meena.naidu@yahoo.com</t>
  </si>
  <si>
    <t>www.bmscoll.edu.in</t>
  </si>
  <si>
    <t>PES University</t>
  </si>
  <si>
    <t>Tumkur</t>
  </si>
  <si>
    <t>Prof. Sanjay Iyer</t>
  </si>
  <si>
    <t>sanjay.iyer@outlook.com</t>
  </si>
  <si>
    <t>Mr. Uma Sharma</t>
  </si>
  <si>
    <t>uma.sharma@yahoo.com</t>
  </si>
  <si>
    <t>www.pesuniv.edu.in</t>
  </si>
  <si>
    <t>Ramaiah Institute of Technology</t>
  </si>
  <si>
    <t>Hubli</t>
  </si>
  <si>
    <t>Prof. Suresh Menon</t>
  </si>
  <si>
    <t>suresh.menon@outlook.com</t>
  </si>
  <si>
    <t>Mr. Priya Acharya</t>
  </si>
  <si>
    <t>priya.acharya@outlook.com</t>
  </si>
  <si>
    <t>www.ramainst.edu.in</t>
  </si>
  <si>
    <t>Dayananda Sagar College of Engineering</t>
  </si>
  <si>
    <t>Shimoga</t>
  </si>
  <si>
    <t>Dr. Bharat Murthy</t>
  </si>
  <si>
    <t>bharat.murthy@outlook.com</t>
  </si>
  <si>
    <t>Mr. Senthil Rao</t>
  </si>
  <si>
    <t>senthil.rao@gmail.com</t>
  </si>
  <si>
    <t>www.dayasaga.edu.in</t>
  </si>
  <si>
    <t>Bangalore Institute of Technology</t>
  </si>
  <si>
    <t>Prof. Shanti Iyer</t>
  </si>
  <si>
    <t>shanti.iyer@yahoo.com</t>
  </si>
  <si>
    <t>Ms. Sanjay Murthy</t>
  </si>
  <si>
    <t>sanjay.murthy@gmail.com</t>
  </si>
  <si>
    <t>www.banginst.edu.in</t>
  </si>
  <si>
    <t>M S Ramaiah University of Applied Sciences</t>
  </si>
  <si>
    <t>Prof. Suresh Kumar</t>
  </si>
  <si>
    <t>suresh.kumar@yahoo.com</t>
  </si>
  <si>
    <t>Mr. Prakash Sharma</t>
  </si>
  <si>
    <t>prakash.sharma@yahoo.com</t>
  </si>
  <si>
    <t>www.ms.edu.in</t>
  </si>
  <si>
    <t>KLE Dr M S Sheshgiri College of Engineering and Technology</t>
  </si>
  <si>
    <t>Prof. Naveen Kumar</t>
  </si>
  <si>
    <t>naveen.kumar@outlook.com</t>
  </si>
  <si>
    <t>Ms. Sanjay Krishnan</t>
  </si>
  <si>
    <t>sanjay.krishnan@outlook.com</t>
  </si>
  <si>
    <t>www.kledr.edu.in</t>
  </si>
  <si>
    <t>KLE Institute of Technology Hubli</t>
  </si>
  <si>
    <t>Dr. Ramesh Swamy</t>
  </si>
  <si>
    <t>ramesh.swamy@yahoo.com</t>
  </si>
  <si>
    <t>geetha.swamy@yahoo.com</t>
  </si>
  <si>
    <t>www.kleinst.edu.in</t>
  </si>
  <si>
    <t>KLS Gogte Institute of Technology</t>
  </si>
  <si>
    <t>Prof. Sundar Menon</t>
  </si>
  <si>
    <t>sundar.menon@yahoo.com</t>
  </si>
  <si>
    <t>www.klsgogt.edu.in</t>
  </si>
  <si>
    <t>Malik Sandal Institute of Art and Architecture</t>
  </si>
  <si>
    <t>Haveri</t>
  </si>
  <si>
    <t>Dr. Bharat Varma</t>
  </si>
  <si>
    <t>bharat.varma@gmail.com</t>
  </si>
  <si>
    <t>Mr. Geetha Gowda</t>
  </si>
  <si>
    <t>geetha.gowda@outlook.com</t>
  </si>
  <si>
    <t>www.malisand.edu.in</t>
  </si>
  <si>
    <t>Maratha Mandals Engineering College</t>
  </si>
  <si>
    <t>Mandya</t>
  </si>
  <si>
    <t>Prof. Sundar Iyer</t>
  </si>
  <si>
    <t>sundar.iyer@outlook.com</t>
  </si>
  <si>
    <t>uma.pillai@outlook.com</t>
  </si>
  <si>
    <t>www.maramand.edu.in</t>
  </si>
  <si>
    <t>S G Balekundri Institute of Technology</t>
  </si>
  <si>
    <t>Belgaum</t>
  </si>
  <si>
    <t>Prof. Karthik Chandran</t>
  </si>
  <si>
    <t>karthik.chandran@yahoo.com</t>
  </si>
  <si>
    <t>Mr. Kumar Krishnan</t>
  </si>
  <si>
    <t>kumar.krishnan@gmail.com</t>
  </si>
  <si>
    <t>www.sg.edu.in</t>
  </si>
  <si>
    <t>S T J Institute of Technology</t>
  </si>
  <si>
    <t>Mangalore</t>
  </si>
  <si>
    <t>Dr. Anitha Verma</t>
  </si>
  <si>
    <t>anitha.verma@yahoo.com</t>
  </si>
  <si>
    <t>Ms. Latha Chandran</t>
  </si>
  <si>
    <t>latha.chandran@gmail.com</t>
  </si>
  <si>
    <t>www.st.edu.in</t>
  </si>
  <si>
    <t>SDM College of Engineering and Technology</t>
  </si>
  <si>
    <t>Davangere</t>
  </si>
  <si>
    <t>Prof. Radha Subramaniam</t>
  </si>
  <si>
    <t>radha.subramaniam@yahoo.com</t>
  </si>
  <si>
    <t>Mr. Latha Rao</t>
  </si>
  <si>
    <t>latha.rao@gmail.com</t>
  </si>
  <si>
    <t>www.sdmcoll.edu.in</t>
  </si>
  <si>
    <t>SECAB Institute of Engineering and Technology</t>
  </si>
  <si>
    <t>Dr. Bharat Iyer</t>
  </si>
  <si>
    <t>bharat.iyer@gmail.com</t>
  </si>
  <si>
    <t>Mr. Suresh Acharya</t>
  </si>
  <si>
    <t>suresh.acharya@outlook.com</t>
  </si>
  <si>
    <t>www.secainst.edu.in</t>
  </si>
  <si>
    <t>Sri Tontadaraya College of Engineering</t>
  </si>
  <si>
    <t>Chitradurga</t>
  </si>
  <si>
    <t>Prof. Meena Rao</t>
  </si>
  <si>
    <t>meena.rao@yahoo.com</t>
  </si>
  <si>
    <t>Mr. Sunitha Rao</t>
  </si>
  <si>
    <t>sunitha.rao@yahoo.com</t>
  </si>
  <si>
    <t>www.sritont.edu.in</t>
  </si>
  <si>
    <t>V S M Institute of Technology</t>
  </si>
  <si>
    <t>Dharwad</t>
  </si>
  <si>
    <t>Prof. Sunitha Sharma</t>
  </si>
  <si>
    <t>sunitha.sharma@outlook.com</t>
  </si>
  <si>
    <t>Ms. Anitha Reddy</t>
  </si>
  <si>
    <t>anitha.reddy@yahoo.com</t>
  </si>
  <si>
    <t>Vishwanatharao Deshpande Institute of Technology</t>
  </si>
  <si>
    <t>Bellary</t>
  </si>
  <si>
    <t>Prof. Sunitha Reddy</t>
  </si>
  <si>
    <t>sunitha.reddy@yahoo.com</t>
  </si>
  <si>
    <t>Mr. Krishna Iyer</t>
  </si>
  <si>
    <t>krishna.iyer@yahoo.com</t>
  </si>
  <si>
    <t>www.vishdesh.edu.in</t>
  </si>
  <si>
    <t>National Institute of Engineering Mysore</t>
  </si>
  <si>
    <t>Dr. Anand Iyer</t>
  </si>
  <si>
    <t>anand.iyer@outlook.com</t>
  </si>
  <si>
    <t>Mr. Kumar Patil</t>
  </si>
  <si>
    <t>kumar.patil@gmail.com</t>
  </si>
  <si>
    <t>www.natiinst.edu.in</t>
  </si>
  <si>
    <t>Vijaya Vittala Institute of Technology</t>
  </si>
  <si>
    <t>Prof. Bharat Subramaniam</t>
  </si>
  <si>
    <t>bharat.subramaniam@yahoo.com</t>
  </si>
  <si>
    <t>Ms. Latha Acharya</t>
  </si>
  <si>
    <t>latha.acharya@outlook.com</t>
  </si>
  <si>
    <t>www.vijavitt.edu.in</t>
  </si>
  <si>
    <t>Acharya Institute of Technology</t>
  </si>
  <si>
    <t>Dr. Senthil Reddy</t>
  </si>
  <si>
    <t>senthil.reddy@gmail.com</t>
  </si>
  <si>
    <t>Ms. Anitha Menon</t>
  </si>
  <si>
    <t>anitha.menon@gmail.com</t>
  </si>
  <si>
    <t>www.achainst.edu.in</t>
  </si>
  <si>
    <t>Cambridge Institute of Technology</t>
  </si>
  <si>
    <t>Prof. Radha Naidu</t>
  </si>
  <si>
    <t>radha.naidu@outlook.com</t>
  </si>
  <si>
    <t>Ms. Ganesh Reddy</t>
  </si>
  <si>
    <t>ganesh.reddy@outlook.com</t>
  </si>
  <si>
    <t>www.cambinst.edu.in</t>
  </si>
  <si>
    <t>Global Academy of Technology</t>
  </si>
  <si>
    <t>Dr. Anand Reddy</t>
  </si>
  <si>
    <t>anand.reddy@gmail.com</t>
  </si>
  <si>
    <t>Mr. Padma Acharya</t>
  </si>
  <si>
    <t>padma.acharya@yahoo.com</t>
  </si>
  <si>
    <t>www.globacad.edu.in</t>
  </si>
  <si>
    <t>Nitte Meenakshi Institute of Technology</t>
  </si>
  <si>
    <t>Prof. Revathi Menon</t>
  </si>
  <si>
    <t>revathi.menon@gmail.com</t>
  </si>
  <si>
    <t>Mr. Divya Naidu</t>
  </si>
  <si>
    <t>www.nittmeen.edu.in</t>
  </si>
  <si>
    <t>CMR Institute of Technology</t>
  </si>
  <si>
    <t>radha.krishnan@gmail.com</t>
  </si>
  <si>
    <t>senthil.menon@outlook.com</t>
  </si>
  <si>
    <t>www.cmrinst.edu.in</t>
  </si>
  <si>
    <t>Sapthagiri College of Engineering</t>
  </si>
  <si>
    <t>Dr. Uma Bhat</t>
  </si>
  <si>
    <t>uma.bhat@outlook.com</t>
  </si>
  <si>
    <t>Ms. Prakash Gowda</t>
  </si>
  <si>
    <t>prakash.gowda@gmail.com</t>
  </si>
  <si>
    <t>www.saptcoll.edu.in</t>
  </si>
  <si>
    <t>East West Institute of Technology</t>
  </si>
  <si>
    <t>Dr. Mohan Chandran</t>
  </si>
  <si>
    <t>mohan.chandran@gmail.com</t>
  </si>
  <si>
    <t>Ms. Ganesh Krishnan</t>
  </si>
  <si>
    <t>ganesh.krishnan@gmail.com</t>
  </si>
  <si>
    <t>www.eastwest.edu.in</t>
  </si>
  <si>
    <t>Rajarajeswari College of Engineering</t>
  </si>
  <si>
    <t>Dr. Lakshmi Varma</t>
  </si>
  <si>
    <t>lakshmi.varma@outlook.com</t>
  </si>
  <si>
    <t>Mr. Sushma Sharma</t>
  </si>
  <si>
    <t>sushma.sharma@gmail.com</t>
  </si>
  <si>
    <t>www.rajacoll.edu.in</t>
  </si>
  <si>
    <t>Sai Vidya Institute of Technology</t>
  </si>
  <si>
    <t>Prof. Vijay Varma</t>
  </si>
  <si>
    <t>vijay.varma@yahoo.com</t>
  </si>
  <si>
    <t>Mr. Anand Pillai</t>
  </si>
  <si>
    <t>anand.pillai@yahoo.com</t>
  </si>
  <si>
    <t>www.saividy.edu.in</t>
  </si>
  <si>
    <t>SJB Institute of Technology</t>
  </si>
  <si>
    <t>Prof. Prakash Reddy</t>
  </si>
  <si>
    <t>prakash.reddy@gmail.com</t>
  </si>
  <si>
    <t>divya.acharya@outlook.com</t>
  </si>
  <si>
    <t>www.sjbinst.edu.in</t>
  </si>
  <si>
    <t>Vidyavardhaka College of Engineering Mysore</t>
  </si>
  <si>
    <t>Prof. Vijay Subramaniam</t>
  </si>
  <si>
    <t>vijay.subramaniam@gmail.com</t>
  </si>
  <si>
    <t>Mr. Sunitha Naidu</t>
  </si>
  <si>
    <t>sunitha.naidu@outlook.com</t>
  </si>
  <si>
    <t>www.vidycoll.edu.in</t>
  </si>
  <si>
    <t>JSS Science and Technology University Mysore</t>
  </si>
  <si>
    <t>Gulbarga</t>
  </si>
  <si>
    <t>Prof. Anand Verma</t>
  </si>
  <si>
    <t>anand.verma@yahoo.com</t>
  </si>
  <si>
    <t>Mr. Uma Varma</t>
  </si>
  <si>
    <t>uma.varma@outlook.com</t>
  </si>
  <si>
    <t>www.jssscie.edu.in</t>
  </si>
  <si>
    <t>Government Engineering College Hassan</t>
  </si>
  <si>
    <t>Dr. Murthy Sharma</t>
  </si>
  <si>
    <t>murthy.sharma@outlook.com</t>
  </si>
  <si>
    <t>Mr. Arjun Patil</t>
  </si>
  <si>
    <t>arjun.patil@yahoo.com</t>
  </si>
  <si>
    <t>Government Engineering College Raichur</t>
  </si>
  <si>
    <t>Prof. Sundar Krishnan</t>
  </si>
  <si>
    <t>Mr. Revathi Naidu</t>
  </si>
  <si>
    <t>revathi.naidu@outlook.com</t>
  </si>
  <si>
    <t>Bapuji Institute of Engineering and Technology</t>
  </si>
  <si>
    <t>bharat.swamy@outlook.com</t>
  </si>
  <si>
    <t>Mr. Divya Chandran</t>
  </si>
  <si>
    <t>divya.chandran@gmail.com</t>
  </si>
  <si>
    <t>www.bapuinst.edu.in</t>
  </si>
  <si>
    <t>Mangalore Institute of Technology and Engineering</t>
  </si>
  <si>
    <t>Mr. Priya Naidu</t>
  </si>
  <si>
    <t>priya.naidu@outlook.com</t>
  </si>
  <si>
    <t>www.manginst.edu.in</t>
  </si>
  <si>
    <t>St Joseph Engineering College Mangalore</t>
  </si>
  <si>
    <t>Hassan</t>
  </si>
  <si>
    <t>Dr. Geetha Verma</t>
  </si>
  <si>
    <t>geetha.verma@yahoo.com</t>
  </si>
  <si>
    <t>Ms. Padma Reddy</t>
  </si>
  <si>
    <t>padma.reddy@yahoo.com</t>
  </si>
  <si>
    <t>www.stjose.edu.in</t>
  </si>
  <si>
    <t>NMAM Institute of Technology Nitte</t>
  </si>
  <si>
    <t>Dr. Sunitha Patil</t>
  </si>
  <si>
    <t>sunitha.patil@yahoo.com</t>
  </si>
  <si>
    <t>Ms. Prakash Acharya</t>
  </si>
  <si>
    <t>www.nmaminst.edu.in</t>
  </si>
  <si>
    <t>Canara Engineering College</t>
  </si>
  <si>
    <t>Dr. Sunitha Naidu</t>
  </si>
  <si>
    <t>Mr. Lakshmi Subramaniam</t>
  </si>
  <si>
    <t>www.canaengi.edu.in</t>
  </si>
  <si>
    <t>PA College of Engineering Mangalore</t>
  </si>
  <si>
    <t>Dr. Geetha Krishnan</t>
  </si>
  <si>
    <t>geetha.krishnan@yahoo.com</t>
  </si>
  <si>
    <t>Ms. Ramesh Iyer</t>
  </si>
  <si>
    <t>ramesh.iyer@gmail.com</t>
  </si>
  <si>
    <t>www.pacoll.edu.in</t>
  </si>
  <si>
    <t>Alvas Institute of Engineering and Technology</t>
  </si>
  <si>
    <t>Ms. Sushma Krishnan</t>
  </si>
  <si>
    <t>sushma.krishnan@gmail.com</t>
  </si>
  <si>
    <t>www.alvainst.edu.in</t>
  </si>
  <si>
    <t>Sahyadri College of Engineering and Management</t>
  </si>
  <si>
    <t>Dr. Murthy Nair</t>
  </si>
  <si>
    <t>murthy.nair@gmail.com</t>
  </si>
  <si>
    <t>Ms. Mohan Gowda</t>
  </si>
  <si>
    <t>mohan.gowda@yahoo.com</t>
  </si>
  <si>
    <t>www.sahycoll.edu.in</t>
  </si>
  <si>
    <t>K S Institute of Technology</t>
  </si>
  <si>
    <t>Dr. Naveen Sharma</t>
  </si>
  <si>
    <t>naveen.sharma@yahoo.com</t>
  </si>
  <si>
    <t>Mr. Mahesh Verma</t>
  </si>
  <si>
    <t>mahesh.verma@gmail.com</t>
  </si>
  <si>
    <t>www.ks.edu.in</t>
  </si>
  <si>
    <t>Atria Institute of Technology</t>
  </si>
  <si>
    <t>Prof. Uma Naidu</t>
  </si>
  <si>
    <t>uma.naidu@gmail.com</t>
  </si>
  <si>
    <t>Mr. Karthik Rao</t>
  </si>
  <si>
    <t>karthik.rao@yahoo.com</t>
  </si>
  <si>
    <t>www.atriinst.edu.in</t>
  </si>
  <si>
    <t>T John Institute of Technology</t>
  </si>
  <si>
    <t>Dr. Vikram Subramaniam</t>
  </si>
  <si>
    <t>vikram.subramaniam@yahoo.com</t>
  </si>
  <si>
    <t>www.tjohn.edu.in</t>
  </si>
  <si>
    <t>Government First Grade College Bangalore</t>
  </si>
  <si>
    <t>Dr. Geetha Nair</t>
  </si>
  <si>
    <t>geetha.nair@gmail.com</t>
  </si>
  <si>
    <t>Mr. Priya Varma</t>
  </si>
  <si>
    <t>priya.varma@outlook.com</t>
  </si>
  <si>
    <t>www.govefirs.edu.in</t>
  </si>
  <si>
    <t>Bangalore University Jnana Bharathi</t>
  </si>
  <si>
    <t>Dr. Meena Menon</t>
  </si>
  <si>
    <t>meena.menon@yahoo.com</t>
  </si>
  <si>
    <t>Mr. Vikram Gowda</t>
  </si>
  <si>
    <t>vikram.gowda@outlook.com</t>
  </si>
  <si>
    <t>www.banguniv.edu.in</t>
  </si>
  <si>
    <t>St Joseph's College of Commerce Bangalore</t>
  </si>
  <si>
    <t>Dr. Sushma Patil</t>
  </si>
  <si>
    <t>sushma.patil@gmail.com</t>
  </si>
  <si>
    <t>Mr. Vikram Bhat</t>
  </si>
  <si>
    <t>www.stcoll.edu.in</t>
  </si>
  <si>
    <t>Mount Carmel College Bangalore</t>
  </si>
  <si>
    <t>Dr. Radha Verma</t>
  </si>
  <si>
    <t>radha.verma@gmail.com</t>
  </si>
  <si>
    <t>Mr. Sushma Iyer</t>
  </si>
  <si>
    <t>sushma.iyer@yahoo.com</t>
  </si>
  <si>
    <t>www.mouncarm.edu.in</t>
  </si>
  <si>
    <t>Christ University Bangalore</t>
  </si>
  <si>
    <t>Dr. Prakash Acharya</t>
  </si>
  <si>
    <t>prakash.acharya@gmail.com</t>
  </si>
  <si>
    <t>www.chriuniv.edu.in</t>
  </si>
  <si>
    <t>Mangalore University Mangalagangotri</t>
  </si>
  <si>
    <t>Prof. Ganesh Murthy</t>
  </si>
  <si>
    <t>ganesh.murthy@yahoo.com</t>
  </si>
  <si>
    <t>Mr. Murthy Rao</t>
  </si>
  <si>
    <t>murthy.rao@yahoo.com</t>
  </si>
  <si>
    <t>www.manguniv.edu.in</t>
  </si>
  <si>
    <t>Karnatak University Dharwad</t>
  </si>
  <si>
    <t>Dr. Lakshmi Nair</t>
  </si>
  <si>
    <t>Mr. Ravi Patil</t>
  </si>
  <si>
    <t>ravi.patil@gmail.com</t>
  </si>
  <si>
    <t>www.karnuniv.edu.in</t>
  </si>
  <si>
    <t>Kuvempu University Shankaraghatta</t>
  </si>
  <si>
    <t>Dr. Mohan Pillai</t>
  </si>
  <si>
    <t>mohan.pillai@outlook.com</t>
  </si>
  <si>
    <t>Mr. Ramesh Varma</t>
  </si>
  <si>
    <t>ramesh.varma@outlook.com</t>
  </si>
  <si>
    <t>www.kuveuniv.edu.in</t>
  </si>
  <si>
    <t>Government Arts College Mysore</t>
  </si>
  <si>
    <t>Dr. Sundar Krishnan</t>
  </si>
  <si>
    <t>sundar.krishnan@outlook.com</t>
  </si>
  <si>
    <t>Ms. Priya Bhat</t>
  </si>
  <si>
    <t>priya.bhat@yahoo.com</t>
  </si>
  <si>
    <t>Maharani's Science College for Women Mysore</t>
  </si>
  <si>
    <t>Prof. Kumar Gowda</t>
  </si>
  <si>
    <t>kumar.gowda@outlook.com</t>
  </si>
  <si>
    <t>www.sciecoll.edu.in</t>
  </si>
  <si>
    <t>Vijaya Vittala Institute of Technology - Hubli Campus</t>
  </si>
  <si>
    <t>Prof. Kavitha Subramaniam</t>
  </si>
  <si>
    <t>Mr. Shanti Pillai</t>
  </si>
  <si>
    <t>New Horizon College of Engineering - Mysore Campus</t>
  </si>
  <si>
    <t>Dr. Vikram Pillai</t>
  </si>
  <si>
    <t>vikram.pillai@yahoo.com</t>
  </si>
  <si>
    <t>Mr. Padma Iyer</t>
  </si>
  <si>
    <t>padma.iyer@gmail.com</t>
  </si>
  <si>
    <t>PA College of Engineering Mangalore - Udupi Campus</t>
  </si>
  <si>
    <t>Prof. Naveen Nair</t>
  </si>
  <si>
    <t>naveen.nair@gmail.com</t>
  </si>
  <si>
    <t>Mr. Ravi Kumar</t>
  </si>
  <si>
    <t>ravi.kumar@gmail.com</t>
  </si>
  <si>
    <t>National Institute of Engineering Mysore - Belgaum Campus</t>
  </si>
  <si>
    <t>Prof. Anand Patil</t>
  </si>
  <si>
    <t>anand.patil@yahoo.com</t>
  </si>
  <si>
    <t>Mr. Kavitha Murthy</t>
  </si>
  <si>
    <t>kavitha.murthy@yahoo.com</t>
  </si>
  <si>
    <t>T John Institute of Technology - Hubli Campus</t>
  </si>
  <si>
    <t>Dr. Suresh Patil</t>
  </si>
  <si>
    <t>suresh.patil@yahoo.com</t>
  </si>
  <si>
    <t>Ms. Mohan Naidu</t>
  </si>
  <si>
    <t>mohan.naidu@gmail.com</t>
  </si>
  <si>
    <t>Cambridge Institute of Technology - Hassan Campus</t>
  </si>
  <si>
    <t>Dr. Sushma Pillai</t>
  </si>
  <si>
    <t>murthy.sharma@gmail.com</t>
  </si>
  <si>
    <t>SDM College of Engineering and Technology - Dharwad Campus</t>
  </si>
  <si>
    <t>Dr. Revathi Rao</t>
  </si>
  <si>
    <t>revathi.rao@gmail.com</t>
  </si>
  <si>
    <t>Mr. Anitha Kumar</t>
  </si>
  <si>
    <t>anitha.kumar@gmail.com</t>
  </si>
  <si>
    <t>AMC Engineering College - Bijapur Campus</t>
  </si>
  <si>
    <t>vikram.pillai@gmail.com</t>
  </si>
  <si>
    <t>sunitha.bhat@outlook.com</t>
  </si>
  <si>
    <t>PES University - Kolar Campus</t>
  </si>
  <si>
    <t>Dr. Sanjay Swamy</t>
  </si>
  <si>
    <t>sanjay.swamy@yahoo.com</t>
  </si>
  <si>
    <t>meena.sharma@yahoo.com</t>
  </si>
  <si>
    <t>Dayananda Sagar College of Engineering - Dharwad Campus</t>
  </si>
  <si>
    <t>Prof. Kumar Acharya</t>
  </si>
  <si>
    <t>kumar.acharya@yahoo.com</t>
  </si>
  <si>
    <t>Ms. Krishna Nair</t>
  </si>
  <si>
    <t>krishna.nair@gmail.com</t>
  </si>
  <si>
    <t>Alvas Institute of Engineering and Technology - Haveri Campus</t>
  </si>
  <si>
    <t>Prof. Sushma Gowda</t>
  </si>
  <si>
    <t>sushma.gowda@gmail.com</t>
  </si>
  <si>
    <t>Mr. Murthy Swamy</t>
  </si>
  <si>
    <t>murthy.swamy@gmail.com</t>
  </si>
  <si>
    <t>K S Institute of Technology - Mandya Campus</t>
  </si>
  <si>
    <t>Dr. Ravi Iyer</t>
  </si>
  <si>
    <t>RV College of Engineering - Shimoga Campus</t>
  </si>
  <si>
    <t>Prof. Sushma Patil</t>
  </si>
  <si>
    <t>Ms. Divya Naidu</t>
  </si>
  <si>
    <t>divya.naidu@yahoo.com</t>
  </si>
  <si>
    <t>Nitte Meenakshi Institute of Technology - Belgaum Campus</t>
  </si>
  <si>
    <t>Prof. Mahesh Pillai</t>
  </si>
  <si>
    <t>mahesh.pillai@yahoo.com</t>
  </si>
  <si>
    <t>Ms. Ravi Bhat</t>
  </si>
  <si>
    <t>ravi.bhat@gmail.com</t>
  </si>
  <si>
    <t>Government First Grade College Bangalore - Raichur Campus</t>
  </si>
  <si>
    <t>Prof. Senthil Kumar</t>
  </si>
  <si>
    <t>senthil.kumar@yahoo.com</t>
  </si>
  <si>
    <t>Mr. Shanti Gowda</t>
  </si>
  <si>
    <t>shanti.gowda@yahoo.com</t>
  </si>
  <si>
    <t>NMAM Institute of Technology Nitte - Bellary Campus</t>
  </si>
  <si>
    <t>Prof. Priya Naidu</t>
  </si>
  <si>
    <t>priya.naidu@gmail.com</t>
  </si>
  <si>
    <t>Mr. Meena Verma</t>
  </si>
  <si>
    <t>meena.verma@outlook.com</t>
  </si>
  <si>
    <t>JSS Science and Technology University Mysore - Belgaum Campus</t>
  </si>
  <si>
    <t>Dr. Senthil Varma</t>
  </si>
  <si>
    <t>senthil.varma@gmail.com</t>
  </si>
  <si>
    <t>Mr. Sunitha Patil</t>
  </si>
  <si>
    <t>sunitha.patil@gmail.com</t>
  </si>
  <si>
    <t>Dayananda Sagar College of Engineering - Hassan Campus</t>
  </si>
  <si>
    <t>anand.verma@outlook.com</t>
  </si>
  <si>
    <t>Mr. Sushma Krishnan</t>
  </si>
  <si>
    <t>M S Ramaiah University of Applied Sciences - Udupi Campus</t>
  </si>
  <si>
    <t>Dr. Latha Menon</t>
  </si>
  <si>
    <t>latha.menon@outlook.com</t>
  </si>
  <si>
    <t>Mr. Sanjay Reddy</t>
  </si>
  <si>
    <t>sanjay.reddy@gmail.com</t>
  </si>
  <si>
    <t>JSS Science and Technology University Mysore - Mysore Campus</t>
  </si>
  <si>
    <t>Prof. Mohan Sharma</t>
  </si>
  <si>
    <t>mohan.sharma@outlook.com</t>
  </si>
  <si>
    <t>Mr. Bharat Verma</t>
  </si>
  <si>
    <t>bharat.verma@yahoo.com</t>
  </si>
  <si>
    <t>Alvas Institute of Engineering and Technology - Hassan Campus</t>
  </si>
  <si>
    <t>Dr. Mahesh Chandran</t>
  </si>
  <si>
    <t>mahesh.chandran@yahoo.com</t>
  </si>
  <si>
    <t>anitha.naidu@yahoo.com</t>
  </si>
  <si>
    <t>Dr. Sanjay Kumar</t>
  </si>
  <si>
    <t>sanjay.kumar@yahoo.com</t>
  </si>
  <si>
    <t>Ms. Prakash Pillai</t>
  </si>
  <si>
    <t>prakash.pillai@yahoo.com</t>
  </si>
  <si>
    <t>RV College of Engineering - Mandya Campus</t>
  </si>
  <si>
    <t>Dr. Divya Naidu</t>
  </si>
  <si>
    <t>Mr. Lakshmi Iyer</t>
  </si>
  <si>
    <t>lakshmi.iyer@gmail.com</t>
  </si>
  <si>
    <t>SDM College of Engineering and Technology - Gulbarga Campus</t>
  </si>
  <si>
    <t>Prof. Vijay Menon</t>
  </si>
  <si>
    <t>Mr. Shanti Iyer</t>
  </si>
  <si>
    <t>shanti.iyer@gmail.com</t>
  </si>
  <si>
    <t>SDM College of Engineering and Technology - Mangalore Campus</t>
  </si>
  <si>
    <t>Prof. Naveen Verma</t>
  </si>
  <si>
    <t>naveen.verma@yahoo.com</t>
  </si>
  <si>
    <t>Ms. Naveen Acharya</t>
  </si>
  <si>
    <t>naveen.acharya@gmail.com</t>
  </si>
  <si>
    <t>Malik Sandal Institute of Art and Architecture - Tumkur Campus</t>
  </si>
  <si>
    <t>Prof. Senthil Subramaniam</t>
  </si>
  <si>
    <t>senthil.subramaniam@gmail.com</t>
  </si>
  <si>
    <t>Ms. Sunitha Bhat</t>
  </si>
  <si>
    <t>SECAB Institute of Engineering and Technology - Mangalore Campus</t>
  </si>
  <si>
    <t>Dr. Kumar Iyer</t>
  </si>
  <si>
    <t>kumar.iyer@gmail.com</t>
  </si>
  <si>
    <t>Mr. Divya Pillai</t>
  </si>
  <si>
    <t>divya.pillai@outlook.com</t>
  </si>
  <si>
    <t>Government Engineering College Raichur - Tumkur Campus</t>
  </si>
  <si>
    <t>Prof. Vikram Gowda</t>
  </si>
  <si>
    <t>vikram.gowda@yahoo.com</t>
  </si>
  <si>
    <t>Government Engineering College Hassan - Dharwad Campus</t>
  </si>
  <si>
    <t>Prof. Latha Patil</t>
  </si>
  <si>
    <t>latha.patil@outlook.com</t>
  </si>
  <si>
    <t>Mr. Shanti Murthy</t>
  </si>
  <si>
    <t>shanti.murthy@gmail.com</t>
  </si>
  <si>
    <t>Government Engineering College Raichur - Bijapur Campus</t>
  </si>
  <si>
    <t>Prof. Kavitha Kumar</t>
  </si>
  <si>
    <t>kavitha.kumar@yahoo.com</t>
  </si>
  <si>
    <t>Ms. Murthy Swamy</t>
  </si>
  <si>
    <t>murthy.swamy@yahoo.com</t>
  </si>
  <si>
    <t>K S Institute of Technology - Chitradurga Campus</t>
  </si>
  <si>
    <t>Prof. Uma Gowda</t>
  </si>
  <si>
    <t>uma.gowda@yahoo.com</t>
  </si>
  <si>
    <t>Mr. Padma Naidu</t>
  </si>
  <si>
    <t>padma.naidu@gmail.com</t>
  </si>
  <si>
    <t>T John Institute of Technology - Kolar Campus</t>
  </si>
  <si>
    <t>Prof. Arjun Swamy</t>
  </si>
  <si>
    <t>arjun.swamy@yahoo.com</t>
  </si>
  <si>
    <t>Ms. Padma Chandran</t>
  </si>
  <si>
    <t>padma.chandran@outlook.com</t>
  </si>
  <si>
    <t>National Institute of Engineering Mysore - Bidar Campus</t>
  </si>
  <si>
    <t>vijay.menon@gmail.com</t>
  </si>
  <si>
    <t>Ms. Mahesh Naidu</t>
  </si>
  <si>
    <t>mahesh.naidu@outlook.com</t>
  </si>
  <si>
    <t>KLS Gogte Institute of Technology - Tumkur Campus</t>
  </si>
  <si>
    <t>Dr. Senthil Swamy</t>
  </si>
  <si>
    <t>senthil.swamy@outlook.com</t>
  </si>
  <si>
    <t>Ms. Vikram Bhat</t>
  </si>
  <si>
    <t>CMR Institute of Technology - Gulbarga Campus</t>
  </si>
  <si>
    <t>Prof. Sanjay Menon</t>
  </si>
  <si>
    <t>sanjay.menon@outlook.com</t>
  </si>
  <si>
    <t>shanti.pillai@yahoo.com</t>
  </si>
  <si>
    <t>S G Balekundri Institute of Technology - Gulbarga Campus</t>
  </si>
  <si>
    <t>Dr. Karthik Patil</t>
  </si>
  <si>
    <t>karthik.patil@yahoo.com</t>
  </si>
  <si>
    <t>Ms. Anitha Chandran</t>
  </si>
  <si>
    <t>anitha.chandran@yahoo.com</t>
  </si>
  <si>
    <t>Sahyadri College of Engineering and Management - Bellary Campus</t>
  </si>
  <si>
    <t>Dr. Sanjay Nair</t>
  </si>
  <si>
    <t>Mr. Krishna Subramaniam</t>
  </si>
  <si>
    <t>krishna.subramaniam@gmail.com</t>
  </si>
  <si>
    <t>Vishwanatharao Deshpande Institute of Technology - Bellary Campus</t>
  </si>
  <si>
    <t>Dr. Shanti Murthy</t>
  </si>
  <si>
    <t>shanti.murthy@outlook.com</t>
  </si>
  <si>
    <t>Mr. Anand Patil</t>
  </si>
  <si>
    <t>anand.patil@gmail.com</t>
  </si>
  <si>
    <t>SECAB Institute of Engineering and Technology - Udupi Campus</t>
  </si>
  <si>
    <t>Mr. Vijay Patil</t>
  </si>
  <si>
    <t>vijay.patil@yahoo.com</t>
  </si>
  <si>
    <t>Nitte Meenakshi Institute of Technology - Tumkur Campus</t>
  </si>
  <si>
    <t>Prof. Sushma Bhat</t>
  </si>
  <si>
    <t>sushma.bhat@yahoo.com</t>
  </si>
  <si>
    <t>Ms. Ramesh Murthy</t>
  </si>
  <si>
    <t>ramesh.murthy@outlook.com</t>
  </si>
  <si>
    <t>K L University Vijayawada</t>
  </si>
  <si>
    <t>Andhra Pradesh</t>
  </si>
  <si>
    <t>Eluru</t>
  </si>
  <si>
    <t>Prof. Ravi Nair</t>
  </si>
  <si>
    <t>ravi.nair@yahoo.com</t>
  </si>
  <si>
    <t>Mr. Murthy Naidu</t>
  </si>
  <si>
    <t>murthy.naidu@gmail.com</t>
  </si>
  <si>
    <t>Andhra University College of Engineering</t>
  </si>
  <si>
    <t>Tenali</t>
  </si>
  <si>
    <t>Dr. Ganesh Chandran</t>
  </si>
  <si>
    <t>ganesh.chandran@gmail.com</t>
  </si>
  <si>
    <t>www.andhuniv.edu.in</t>
  </si>
  <si>
    <t>Sri Venkateswara University Tirupati</t>
  </si>
  <si>
    <t>Chittoor</t>
  </si>
  <si>
    <t>Dr. Mahesh Nair</t>
  </si>
  <si>
    <t>mahesh.nair@outlook.com</t>
  </si>
  <si>
    <t>Mr. Mahesh Nair</t>
  </si>
  <si>
    <t>mahesh.nair@yahoo.com</t>
  </si>
  <si>
    <t>www.srivenk.edu.in</t>
  </si>
  <si>
    <t>Jawaharlal Nehru Technological University Anantapur</t>
  </si>
  <si>
    <t>Anantapur</t>
  </si>
  <si>
    <t>Prof. Ravi Bhat</t>
  </si>
  <si>
    <t>Mr. Sundar Menon</t>
  </si>
  <si>
    <t>sundar.menon@gmail.com</t>
  </si>
  <si>
    <t>www.jawanehr.edu.in</t>
  </si>
  <si>
    <t>Anil Neerukonda Institute of Technology and Sciences</t>
  </si>
  <si>
    <t>Rajahmundry</t>
  </si>
  <si>
    <t>Prof. Kumar Patil</t>
  </si>
  <si>
    <t>kumar.patil@yahoo.com</t>
  </si>
  <si>
    <t>Mr. Ramesh Kumar</t>
  </si>
  <si>
    <t>ramesh.kumar@outlook.com</t>
  </si>
  <si>
    <t>www.anilneer.edu.in</t>
  </si>
  <si>
    <t>JNTU College of Engineering Kakinada</t>
  </si>
  <si>
    <t>Guntur</t>
  </si>
  <si>
    <t>Prof. Krishna Acharya</t>
  </si>
  <si>
    <t>krishna.acharya@gmail.com</t>
  </si>
  <si>
    <t>Mr. Naveen Murthy</t>
  </si>
  <si>
    <t>naveen.murthy@yahoo.com</t>
  </si>
  <si>
    <t>www.jntucoll.edu.in</t>
  </si>
  <si>
    <t>RVR and JC College of Engineering</t>
  </si>
  <si>
    <t>Tirupati</t>
  </si>
  <si>
    <t>Prof. Priya Acharya</t>
  </si>
  <si>
    <t>vijay.verma@yahoo.com</t>
  </si>
  <si>
    <t>www.rvrand.edu.in</t>
  </si>
  <si>
    <t>Sagi Ramakrishnam Raju Engineering College</t>
  </si>
  <si>
    <t>Ongole</t>
  </si>
  <si>
    <t>Dr. Mahesh Naidu</t>
  </si>
  <si>
    <t>mahesh.naidu@gmail.com</t>
  </si>
  <si>
    <t>Ms. Shanti Krishnan</t>
  </si>
  <si>
    <t>shanti.krishnan@outlook.com</t>
  </si>
  <si>
    <t>www.sagirama.edu.in</t>
  </si>
  <si>
    <t>G Pulla Reddy Engineering College</t>
  </si>
  <si>
    <t>Prof. Suresh Pillai</t>
  </si>
  <si>
    <t>suresh.pillai@yahoo.com</t>
  </si>
  <si>
    <t>Mr. Meena Kumar</t>
  </si>
  <si>
    <t>meena.kumar@outlook.com</t>
  </si>
  <si>
    <t>www.gpull.edu.in</t>
  </si>
  <si>
    <t>Velagapudi Ramakrishna Siddhartha Engineering College</t>
  </si>
  <si>
    <t>Prof. Latha Reddy</t>
  </si>
  <si>
    <t>latha.reddy@outlook.com</t>
  </si>
  <si>
    <t>Mr. Mahesh Kumar</t>
  </si>
  <si>
    <t>mahesh.kumar@outlook.com</t>
  </si>
  <si>
    <t>www.velarama.edu.in</t>
  </si>
  <si>
    <t>Gayatri Vidya Parishad College of Engineering</t>
  </si>
  <si>
    <t>Kurnool</t>
  </si>
  <si>
    <t>Dr. Latha Chandran</t>
  </si>
  <si>
    <t>Mr. Radha Acharya</t>
  </si>
  <si>
    <t>radha.acharya@outlook.com</t>
  </si>
  <si>
    <t>www.gayavidy.edu.in</t>
  </si>
  <si>
    <t>Sree Vidyanikethan Engineering College</t>
  </si>
  <si>
    <t>Dr. Vijay Varma</t>
  </si>
  <si>
    <t>vijay.varma@outlook.com</t>
  </si>
  <si>
    <t>Mr. Murthy Gowda</t>
  </si>
  <si>
    <t>murthy.gowda@outlook.com</t>
  </si>
  <si>
    <t>www.sreevidy.edu.in</t>
  </si>
  <si>
    <t>GITAM Institute of Technology</t>
  </si>
  <si>
    <t>Prof. Kavitha Acharya</t>
  </si>
  <si>
    <t>kavitha.acharya@gmail.com</t>
  </si>
  <si>
    <t>Mr. Senthil Kumar</t>
  </si>
  <si>
    <t>www.gitainst.edu.in</t>
  </si>
  <si>
    <t>GMR Institute of Technology</t>
  </si>
  <si>
    <t>Prof. Prakash Swamy</t>
  </si>
  <si>
    <t>prakash.swamy@outlook.com</t>
  </si>
  <si>
    <t>Mr. Arjun Nair</t>
  </si>
  <si>
    <t>arjun.nair@yahoo.com</t>
  </si>
  <si>
    <t>www.gmrinst.edu.in</t>
  </si>
  <si>
    <t>Vignan's Foundation for Science Technology and Research</t>
  </si>
  <si>
    <t>Dr. Uma Kumar</t>
  </si>
  <si>
    <t>uma.kumar@outlook.com</t>
  </si>
  <si>
    <t>Mr. Mahesh Subramaniam</t>
  </si>
  <si>
    <t>mahesh.subramaniam@yahoo.com</t>
  </si>
  <si>
    <t>www.founfor.edu.in</t>
  </si>
  <si>
    <t>SRM University Amaravati</t>
  </si>
  <si>
    <t>Adoni</t>
  </si>
  <si>
    <t>Prof. Padma Chandran</t>
  </si>
  <si>
    <t>Mr. Bharat Swamy</t>
  </si>
  <si>
    <t>www.srmuniv.edu.in</t>
  </si>
  <si>
    <t>IIIT Sri City</t>
  </si>
  <si>
    <t>Nellore</t>
  </si>
  <si>
    <t>Dr. Arjun Iyer</t>
  </si>
  <si>
    <t>arjun.iyer@outlook.com</t>
  </si>
  <si>
    <t>Mr. Sanjay Verma</t>
  </si>
  <si>
    <t>sanjay.verma@outlook.com</t>
  </si>
  <si>
    <t>www.iiitsri.edu.in</t>
  </si>
  <si>
    <t>Aditya Engineering College</t>
  </si>
  <si>
    <t>Proddatur</t>
  </si>
  <si>
    <t>sunitha.nair@gmail.com</t>
  </si>
  <si>
    <t>www.aditengi.edu.in</t>
  </si>
  <si>
    <t>Lakireddy Bali Reddy College of Engineering</t>
  </si>
  <si>
    <t>Vijayawada</t>
  </si>
  <si>
    <t>Dr. Sanjay Iyer</t>
  </si>
  <si>
    <t>priya.acharya@gmail.com</t>
  </si>
  <si>
    <t>www.lakibali.edu.in</t>
  </si>
  <si>
    <t>Vasireddy Venkatadri Institute of Technology</t>
  </si>
  <si>
    <t>Prof. Mahesh Kumar</t>
  </si>
  <si>
    <t>Ms. Arjun Varma</t>
  </si>
  <si>
    <t>arjun.varma@yahoo.com</t>
  </si>
  <si>
    <t>www.vasivenk.edu.in</t>
  </si>
  <si>
    <t>Prasad V Potluri Siddhartha Institute of Technology</t>
  </si>
  <si>
    <t>Dr. Naveen Naidu</t>
  </si>
  <si>
    <t>naveen.naidu@outlook.com</t>
  </si>
  <si>
    <t>Mr. Sundar Chandran</t>
  </si>
  <si>
    <t>sundar.chandran@gmail.com</t>
  </si>
  <si>
    <t>www.prasv.edu.in</t>
  </si>
  <si>
    <t>Bapatla Engineering College</t>
  </si>
  <si>
    <t>Dr. Mohan Sharma</t>
  </si>
  <si>
    <t>Mr. Murthy Patil</t>
  </si>
  <si>
    <t>murthy.patil@outlook.com</t>
  </si>
  <si>
    <t>www.bapaengi.edu.in</t>
  </si>
  <si>
    <t>V R Siddhartha Engineering College</t>
  </si>
  <si>
    <t>Kakinada</t>
  </si>
  <si>
    <t>Dr. Priya Rao</t>
  </si>
  <si>
    <t>priya.rao@gmail.com</t>
  </si>
  <si>
    <t>Mr. Lakshmi Sharma</t>
  </si>
  <si>
    <t>lakshmi.sharma@yahoo.com</t>
  </si>
  <si>
    <t>www.vr.edu.in</t>
  </si>
  <si>
    <t>Narasaraopeta Engineering College</t>
  </si>
  <si>
    <t>Visakhapatnam</t>
  </si>
  <si>
    <t>Dr. Suresh Sharma</t>
  </si>
  <si>
    <t>suresh.sharma@yahoo.com</t>
  </si>
  <si>
    <t>Mr. Latha Swamy</t>
  </si>
  <si>
    <t>latha.swamy@outlook.com</t>
  </si>
  <si>
    <t>www.naraengi.edu.in</t>
  </si>
  <si>
    <t>Sri Vasavi Engineering College</t>
  </si>
  <si>
    <t>Mr. Anand Iyer</t>
  </si>
  <si>
    <t>www.srivasa.edu.in</t>
  </si>
  <si>
    <t>Chaitanya Bharathi Institute of Technology Vijayawada</t>
  </si>
  <si>
    <t>suresh.pillai@gmail.com</t>
  </si>
  <si>
    <t>Mr. Naveen Swamy</t>
  </si>
  <si>
    <t>naveen.swamy@outlook.com</t>
  </si>
  <si>
    <t>www.chaibhar.edu.in</t>
  </si>
  <si>
    <t>Vignan's Institute of Information Technology</t>
  </si>
  <si>
    <t>Vizianagaram</t>
  </si>
  <si>
    <t>Dr. Revathi Kumar</t>
  </si>
  <si>
    <t>revathi.kumar@outlook.com</t>
  </si>
  <si>
    <t>anand.krishnan@gmail.com</t>
  </si>
  <si>
    <t>Pragati Engineering College</t>
  </si>
  <si>
    <t>Kadapa</t>
  </si>
  <si>
    <t>Prof. Ganesh Subramaniam</t>
  </si>
  <si>
    <t>ganesh.subramaniam@gmail.com</t>
  </si>
  <si>
    <t>www.pragengi.edu.in</t>
  </si>
  <si>
    <t>Shri Vishnu Engineering College for Women</t>
  </si>
  <si>
    <t>Dr. Murthy Iyer</t>
  </si>
  <si>
    <t>murthy.iyer@outlook.com</t>
  </si>
  <si>
    <t>Mr. Priya Iyer</t>
  </si>
  <si>
    <t>priya.iyer@yahoo.com</t>
  </si>
  <si>
    <t>www.shrivish.edu.in</t>
  </si>
  <si>
    <t>Andhra Loyola College Vijayawada</t>
  </si>
  <si>
    <t>Madanapalle</t>
  </si>
  <si>
    <t>Dr. Sanjay Pillai</t>
  </si>
  <si>
    <t>sanjay.pillai@yahoo.com</t>
  </si>
  <si>
    <t>Mr. Arjun Krishnan</t>
  </si>
  <si>
    <t>arjun.krishnan@yahoo.com</t>
  </si>
  <si>
    <t>www.andhloyo.edu.in</t>
  </si>
  <si>
    <t>Government Arts College Anantapur</t>
  </si>
  <si>
    <t>Prof. Mohan Krishnan</t>
  </si>
  <si>
    <t>mohan.krishnan@outlook.com</t>
  </si>
  <si>
    <t>Ms. Meena Bhat</t>
  </si>
  <si>
    <t>meena.bhat@gmail.com</t>
  </si>
  <si>
    <t>Maharaja's Government College Vizianagaram</t>
  </si>
  <si>
    <t>Prof. Shanti Acharya</t>
  </si>
  <si>
    <t>Ms. Murthy Patil</t>
  </si>
  <si>
    <t>Government Degree College Visakhapatnam</t>
  </si>
  <si>
    <t>krishna.subramaniam@outlook.com</t>
  </si>
  <si>
    <t>www.govedegr.edu.in</t>
  </si>
  <si>
    <t>Andhra University Visakhapatnam</t>
  </si>
  <si>
    <t>Srikakulam</t>
  </si>
  <si>
    <t>Dr. Sushma Verma</t>
  </si>
  <si>
    <t>sushma.verma@outlook.com</t>
  </si>
  <si>
    <t>Mr. Bharat Varma</t>
  </si>
  <si>
    <t>bharat.varma@outlook.com</t>
  </si>
  <si>
    <t>Acharya Nagarjuna University Guntur</t>
  </si>
  <si>
    <t>Prof. Senthil Pillai</t>
  </si>
  <si>
    <t>senthil.pillai@yahoo.com</t>
  </si>
  <si>
    <t>Ms. Senthil Murthy</t>
  </si>
  <si>
    <t>senthil.murthy@outlook.com</t>
  </si>
  <si>
    <t>www.achanaga.edu.in</t>
  </si>
  <si>
    <t>Krishna University Machilipatnam</t>
  </si>
  <si>
    <t>Machilipatnam</t>
  </si>
  <si>
    <t>Prof. Krishna Krishnan</t>
  </si>
  <si>
    <t>krishna.krishnan@outlook.com</t>
  </si>
  <si>
    <t>Mr. Naveen Chandran</t>
  </si>
  <si>
    <t>naveen.chandran@outlook.com</t>
  </si>
  <si>
    <t>www.krisuniv.edu.in</t>
  </si>
  <si>
    <t>Yogi Vemana University Kadapa</t>
  </si>
  <si>
    <t>Prof. Shanti Varma</t>
  </si>
  <si>
    <t>shanti.varma@gmail.com</t>
  </si>
  <si>
    <t>Mr. Ravi Acharya</t>
  </si>
  <si>
    <t>ravi.acharya@gmail.com</t>
  </si>
  <si>
    <t>www.yogivema.edu.in</t>
  </si>
  <si>
    <t>Sri Krishnadevaraya University Anantapur</t>
  </si>
  <si>
    <t>Prof. Sundar Patil</t>
  </si>
  <si>
    <t>sundar.patil@outlook.com</t>
  </si>
  <si>
    <t>Ms. Shanti Iyer</t>
  </si>
  <si>
    <t>shanti.iyer@outlook.com</t>
  </si>
  <si>
    <t>Adikavi Nannaya University Rajahmundry</t>
  </si>
  <si>
    <t>mahesh.naidu@yahoo.com</t>
  </si>
  <si>
    <t>Mr. Sunitha Chandran</t>
  </si>
  <si>
    <t>sunitha.chandran@outlook.com</t>
  </si>
  <si>
    <t>www.adiknann.edu.in</t>
  </si>
  <si>
    <t>GMR Institute of Technology - Ongole Campus</t>
  </si>
  <si>
    <t>Dr. Padma Swamy</t>
  </si>
  <si>
    <t>Mr. Lakshmi Acharya</t>
  </si>
  <si>
    <t>lakshmi.acharya@outlook.com</t>
  </si>
  <si>
    <t>G Pulla Reddy Engineering College - Tirupati Campus</t>
  </si>
  <si>
    <t>Prof. Suresh Subramaniam</t>
  </si>
  <si>
    <t>suresh.subramaniam@outlook.com</t>
  </si>
  <si>
    <t>vijay.patil@outlook.com</t>
  </si>
  <si>
    <t>Pragati Engineering College - Tenali Campus</t>
  </si>
  <si>
    <t>Prof. Priya Krishnan</t>
  </si>
  <si>
    <t>priya.krishnan@outlook.com</t>
  </si>
  <si>
    <t>Mr. Prakash Bhat</t>
  </si>
  <si>
    <t>prakash.bhat@gmail.com</t>
  </si>
  <si>
    <t>Lakireddy Bali Reddy College of Engineering - Madanapalle Campus</t>
  </si>
  <si>
    <t>Dr. Latha Iyer</t>
  </si>
  <si>
    <t>latha.iyer@outlook.com</t>
  </si>
  <si>
    <t>Ms. Anitha Verma</t>
  </si>
  <si>
    <t>anitha.verma@gmail.com</t>
  </si>
  <si>
    <t>Acharya Nagarjuna University Guntur - Vizianagaram Campus</t>
  </si>
  <si>
    <t>naveen.verma@outlook.com</t>
  </si>
  <si>
    <t>Mr. Shanti Swamy</t>
  </si>
  <si>
    <t>shanti.swamy@yahoo.com</t>
  </si>
  <si>
    <t>Prof. Mahesh Naidu</t>
  </si>
  <si>
    <t>Mr. Ramesh Pillai</t>
  </si>
  <si>
    <t>ramesh.pillai@gmail.com</t>
  </si>
  <si>
    <t>Anil Neerukonda Institute of Technology and Sciences - Anantapur Campus</t>
  </si>
  <si>
    <t>Ms. Geetha Kumar</t>
  </si>
  <si>
    <t>geetha.kumar@gmail.com</t>
  </si>
  <si>
    <t>Adikavi Nannaya University Rajahmundry - Tenali Campus</t>
  </si>
  <si>
    <t>Dr. Vijay Swamy</t>
  </si>
  <si>
    <t>vijay.swamy@yahoo.com</t>
  </si>
  <si>
    <t>Ms. Sushma Chandran</t>
  </si>
  <si>
    <t>sushma.chandran@outlook.com</t>
  </si>
  <si>
    <t>Anil Neerukonda Institute of Technology and Sciences - Guntur Campus</t>
  </si>
  <si>
    <t>Dr. Radha Chandran</t>
  </si>
  <si>
    <t>radha.chandran@outlook.com</t>
  </si>
  <si>
    <t>Mr. Krishna Naidu</t>
  </si>
  <si>
    <t>krishna.naidu@yahoo.com</t>
  </si>
  <si>
    <t>Lakireddy Bali Reddy College of Engineering - Eluru Campus</t>
  </si>
  <si>
    <t>Prof. Bharat Sharma</t>
  </si>
  <si>
    <t>bharat.sharma@yahoo.com</t>
  </si>
  <si>
    <t>Mr. Radha Krishnan</t>
  </si>
  <si>
    <t>Sri Vasavi Engineering College - Kakinada Campus</t>
  </si>
  <si>
    <t>Prof. Vijay Chandran</t>
  </si>
  <si>
    <t>vijay.chandran@outlook.com</t>
  </si>
  <si>
    <t>Mr. Lakshmi Pillai</t>
  </si>
  <si>
    <t>lakshmi.pillai@outlook.com</t>
  </si>
  <si>
    <t>GMR Institute of Technology - Adoni Campus</t>
  </si>
  <si>
    <t>Prof. Kumar Rao</t>
  </si>
  <si>
    <t>kumar.rao@gmail.com</t>
  </si>
  <si>
    <t>Mr. Priya Reddy</t>
  </si>
  <si>
    <t>priya.reddy@gmail.com</t>
  </si>
  <si>
    <t>K L University Vijayawada - Proddatur Campus</t>
  </si>
  <si>
    <t>padma.swamy@yahoo.com</t>
  </si>
  <si>
    <t>Mr. Ravi Murthy</t>
  </si>
  <si>
    <t>ravi.murthy@outlook.com</t>
  </si>
  <si>
    <t>V R Siddhartha Engineering College - Srikakulam Campus</t>
  </si>
  <si>
    <t>Dr. Latha Krishnan</t>
  </si>
  <si>
    <t>latha.krishnan@gmail.com</t>
  </si>
  <si>
    <t>Ms. Kavitha Varma</t>
  </si>
  <si>
    <t>kavitha.varma@yahoo.com</t>
  </si>
  <si>
    <t>Aditya Engineering College - Machilipatnam Campus</t>
  </si>
  <si>
    <t>Prof. Kavitha Chandran</t>
  </si>
  <si>
    <t>kavitha.chandran@yahoo.com</t>
  </si>
  <si>
    <t>Ms. Naveen Krishnan</t>
  </si>
  <si>
    <t>naveen.krishnan@gmail.com</t>
  </si>
  <si>
    <t>Aditya Engineering College - Kakinada Campus</t>
  </si>
  <si>
    <t>Dr. Anitha Patil</t>
  </si>
  <si>
    <t>anitha.patil@gmail.com</t>
  </si>
  <si>
    <t>Mr. Sunitha Subramaniam</t>
  </si>
  <si>
    <t>IIIT Sri City - Proddatur Campus</t>
  </si>
  <si>
    <t>Dr. Geetha Sharma</t>
  </si>
  <si>
    <t>geetha.sharma@yahoo.com</t>
  </si>
  <si>
    <t>Ms. Kavitha Subramaniam</t>
  </si>
  <si>
    <t>Sagi Ramakrishnam Raju Engineering College - Chittoor Campus</t>
  </si>
  <si>
    <t>geetha.pillai@yahoo.com</t>
  </si>
  <si>
    <t>Mr. Sanjay Acharya</t>
  </si>
  <si>
    <t>sanjay.acharya@outlook.com</t>
  </si>
  <si>
    <t>Yogi Vemana University Kadapa - Srikakulam Campus</t>
  </si>
  <si>
    <t>sushma.swamy@yahoo.com</t>
  </si>
  <si>
    <t>Ms. Sunitha Acharya</t>
  </si>
  <si>
    <t>sunitha.acharya@yahoo.com</t>
  </si>
  <si>
    <t>SRM University Amaravati - Anantapur Campus</t>
  </si>
  <si>
    <t>Dr. Sushma Gowda</t>
  </si>
  <si>
    <t>Mr. Krishna Varma</t>
  </si>
  <si>
    <t>Vignan's Foundation for Science Technology and Research - Kakinada Campus</t>
  </si>
  <si>
    <t>shanti.acharya@outlook.com</t>
  </si>
  <si>
    <t>Ms. Geetha Reddy</t>
  </si>
  <si>
    <t>geetha.reddy@outlook.com</t>
  </si>
  <si>
    <t>Yogi Vemana University Kadapa - Vizianagaram Campus</t>
  </si>
  <si>
    <t>Dr. Geetha Menon</t>
  </si>
  <si>
    <t>geetha.menon@yahoo.com</t>
  </si>
  <si>
    <t>Ms. Krishna Reddy</t>
  </si>
  <si>
    <t>krishna.reddy@yahoo.com</t>
  </si>
  <si>
    <t>Lakireddy Bali Reddy College of Engineering - Machilipatnam Campus</t>
  </si>
  <si>
    <t>senthil.kumar@outlook.com</t>
  </si>
  <si>
    <t>Ms. Arjun Bhat</t>
  </si>
  <si>
    <t>arjun.bhat@outlook.com</t>
  </si>
  <si>
    <t>Sri Vasavi Engineering College - Srikakulam Campus</t>
  </si>
  <si>
    <t>Prof. Anitha Iyer</t>
  </si>
  <si>
    <t>anitha.iyer@gmail.com</t>
  </si>
  <si>
    <t>Mr. Ravi Menon</t>
  </si>
  <si>
    <t>ravi.menon@gmail.com</t>
  </si>
  <si>
    <t>Maharaja's Government College Vizianagaram - Rajahmundry Campus</t>
  </si>
  <si>
    <t>Dr. Geetha Kumar</t>
  </si>
  <si>
    <t>Mr. Mohan Kumar</t>
  </si>
  <si>
    <t>mohan.kumar@yahoo.com</t>
  </si>
  <si>
    <t>Maharaja's Government College Vizianagaram - Chittoor Campus</t>
  </si>
  <si>
    <t>Prof. Anand Subramaniam</t>
  </si>
  <si>
    <t>anand.subramaniam@yahoo.com</t>
  </si>
  <si>
    <t>Mr. Arjun Swamy</t>
  </si>
  <si>
    <t>Shri Vishnu Engineering College for Women - Kakinada Campus</t>
  </si>
  <si>
    <t>Prof. Meena Naidu</t>
  </si>
  <si>
    <t>Mr. Suresh Subramaniam</t>
  </si>
  <si>
    <t>Vasireddy Venkatadri Institute of Technology - Rajahmundry Campus</t>
  </si>
  <si>
    <t>Dr. Ganesh Swamy</t>
  </si>
  <si>
    <t>ganesh.swamy@outlook.com</t>
  </si>
  <si>
    <t>Mr. Sushma Rao</t>
  </si>
  <si>
    <t>sushma.rao@gmail.com</t>
  </si>
  <si>
    <t>Adikavi Nannaya University Rajahmundry - Nellore Campus</t>
  </si>
  <si>
    <t>Dr. Mahesh Verma</t>
  </si>
  <si>
    <t>mahesh.verma@outlook.com</t>
  </si>
  <si>
    <t>Mr. Revathi Nair</t>
  </si>
  <si>
    <t>revathi.nair@gmail.com</t>
  </si>
  <si>
    <t>V R Siddhartha Engineering College - Ongole Campus</t>
  </si>
  <si>
    <t>sanjay.subramaniam@outlook.com</t>
  </si>
  <si>
    <t>Ms. Arjun Krishnan</t>
  </si>
  <si>
    <t>arjun.krishnan@gmail.com</t>
  </si>
  <si>
    <t>Adikavi Nannaya University Rajahmundry - Proddatur Campus</t>
  </si>
  <si>
    <t>Dr. Padma Chandran</t>
  </si>
  <si>
    <t>Mr. Karthik Varma</t>
  </si>
  <si>
    <t>karthik.varma@yahoo.com</t>
  </si>
  <si>
    <t>Acharya Nagarjuna University Guntur - Srikakulam Campus</t>
  </si>
  <si>
    <t>Prof. Sundar Nair</t>
  </si>
  <si>
    <t>sundar.nair@outlook.com</t>
  </si>
  <si>
    <t>Mr. Anand Murthy</t>
  </si>
  <si>
    <t>anand.murthy@gmail.com</t>
  </si>
  <si>
    <t>Prof. Mahesh Verma</t>
  </si>
  <si>
    <t>Mr. Anand Kumar</t>
  </si>
  <si>
    <t>anand.kumar@gmail.com</t>
  </si>
  <si>
    <t>Jawaharlal Nehru Technological University Anantapur - Chittoor Campus</t>
  </si>
  <si>
    <t>Dr. Anand Menon</t>
  </si>
  <si>
    <t>anand.menon@gmail.com</t>
  </si>
  <si>
    <t>GITAM Institute of Technology - Tenali Campus</t>
  </si>
  <si>
    <t>radha.bhat@gmail.com</t>
  </si>
  <si>
    <t>Mr. Naveen Subramaniam</t>
  </si>
  <si>
    <t>naveen.subramaniam@yahoo.com</t>
  </si>
  <si>
    <t>Adikavi Nannaya University Rajahmundry - Ongole Campus</t>
  </si>
  <si>
    <t>Prof. Bharat Krishnan</t>
  </si>
  <si>
    <t>bharat.krishnan@outlook.com</t>
  </si>
  <si>
    <t>Mr. Latha Subramaniam</t>
  </si>
  <si>
    <t>latha.subramaniam@outlook.com</t>
  </si>
  <si>
    <t>Chaitanya Bharathi Institute of Technology Vijayawada - Visakhapatnam Campus</t>
  </si>
  <si>
    <t>Dr. Kumar Sharma</t>
  </si>
  <si>
    <t>kumar.sharma@gmail.com</t>
  </si>
  <si>
    <t>vikram.subramaniam@outlook.com</t>
  </si>
  <si>
    <t>V R Siddhartha Engineering College - Nellore Campus</t>
  </si>
  <si>
    <t>Mr. Anand Sharma</t>
  </si>
  <si>
    <t>anand.sharma@yahoo.com</t>
  </si>
  <si>
    <t>Vasireddy Venkatadri Institute of Technology - Vijayawada Campus</t>
  </si>
  <si>
    <t>Mr. Latha Murthy</t>
  </si>
  <si>
    <t>latha.murthy@yahoo.com</t>
  </si>
  <si>
    <t>Government Degree College Visakhapatnam - Kakinada Campus</t>
  </si>
  <si>
    <t>Dr. Divya Menon</t>
  </si>
  <si>
    <t>divya.menon@yahoo.com</t>
  </si>
  <si>
    <t>Mr. Ravi Sharma</t>
  </si>
  <si>
    <t>ravi.sharma@gmail.com</t>
  </si>
  <si>
    <t>Chaitanya Bharathi Institute of Technology Vijayawada - Anantapur Campus</t>
  </si>
  <si>
    <t>Prof. Arjun Subramaniam</t>
  </si>
  <si>
    <t>arjun.subramaniam@outlook.com</t>
  </si>
  <si>
    <t>sunitha.rao@gmail.com</t>
  </si>
  <si>
    <t>Yogi Vemana University Kadapa - Guntur Campus</t>
  </si>
  <si>
    <t>Dr. Murthy Naidu</t>
  </si>
  <si>
    <t>murthy.naidu@yahoo.com</t>
  </si>
  <si>
    <t>Mr. Geetha Varma</t>
  </si>
  <si>
    <t>geetha.varma@gmail.com</t>
  </si>
  <si>
    <t>Narasaraopeta Engineering College - Nellore Campus</t>
  </si>
  <si>
    <t>Dr. Murthy Acharya</t>
  </si>
  <si>
    <t>lakshmi.iyer@outlook.com</t>
  </si>
  <si>
    <t>Government Arts College Anantapur - Madanapalle Campus</t>
  </si>
  <si>
    <t>Mr. Vikram Murthy</t>
  </si>
  <si>
    <t>vikram.murthy@yahoo.com</t>
  </si>
  <si>
    <t>Aditya Engineering College - Chittoor Campus</t>
  </si>
  <si>
    <t>Mr. Vijay Naidu</t>
  </si>
  <si>
    <t>vijay.naidu@gmail.com</t>
  </si>
  <si>
    <t>SRM University Amaravati - Tenali Campus</t>
  </si>
  <si>
    <t>Prof. Bharat Gowda</t>
  </si>
  <si>
    <t>bharat.gowda@yahoo.com</t>
  </si>
  <si>
    <t>Mr. Krishna Chandran</t>
  </si>
  <si>
    <t>krishna.chandran@gmail.com</t>
  </si>
  <si>
    <t>Chaitanya Bharathi Institute of Technology Vijayawada - Nellore Campus</t>
  </si>
  <si>
    <t>Prof. Murthy Varma</t>
  </si>
  <si>
    <t>murthy.varma@yahoo.com</t>
  </si>
  <si>
    <t>Ms. Revathi Reddy</t>
  </si>
  <si>
    <t>Vasireddy Venkatadri Institute of Technology - Tenali Campus</t>
  </si>
  <si>
    <t>naveen.sharma@gmail.com</t>
  </si>
  <si>
    <t>Mr. Karthik Sharma</t>
  </si>
  <si>
    <t>karthik.sharma@yahoo.com</t>
  </si>
  <si>
    <t>Aditya Engineering College - Nellore Campus</t>
  </si>
  <si>
    <t>Dr. Senthil Kumar</t>
  </si>
  <si>
    <t>Mr. Shanti Reddy</t>
  </si>
  <si>
    <t>shanti.reddy@outlook.com</t>
  </si>
  <si>
    <t>Sri Vasavi Engineering College - Machilipatnam Campus</t>
  </si>
  <si>
    <t>Prof. Anitha Rao</t>
  </si>
  <si>
    <t>anitha.rao@outlook.com</t>
  </si>
  <si>
    <t>Mr. Arjun Iyer</t>
  </si>
  <si>
    <t>arjun.iyer@gmail.com</t>
  </si>
  <si>
    <t>Prasad V Potluri Siddhartha Institute of Technology - Ongole Campus</t>
  </si>
  <si>
    <t>Dr. Sunitha Nair</t>
  </si>
  <si>
    <t>Ms. Suresh Rao</t>
  </si>
  <si>
    <t>suresh.rao@outlook.com</t>
  </si>
  <si>
    <t>Sri Vasavi Engineering College - Tenali Campus</t>
  </si>
  <si>
    <t>Prof. Mahesh Gowda</t>
  </si>
  <si>
    <t>mahesh.gowda@gmail.com</t>
  </si>
  <si>
    <t>Ms. Geetha Pillai</t>
  </si>
  <si>
    <t>Vignan's Institute of Information Technology - Eluru Campus</t>
  </si>
  <si>
    <t>sundar.pillai@gmail.com</t>
  </si>
  <si>
    <t>Mr. Geetha Verma</t>
  </si>
  <si>
    <t>geetha.verma@gmail.com</t>
  </si>
  <si>
    <t>Krishna University Machilipatnam - Srikakulam Campus</t>
  </si>
  <si>
    <t>Dr. Anitha Menon</t>
  </si>
  <si>
    <t>anitha.menon@yahoo.com</t>
  </si>
  <si>
    <t>Mr. Geetha Menon</t>
  </si>
  <si>
    <t>geetha.menon@outlook.com</t>
  </si>
  <si>
    <t>K L University Vijayawada - Madanapalle Campus</t>
  </si>
  <si>
    <t>radha.bhat@yahoo.com</t>
  </si>
  <si>
    <t>Mr. Ramesh Rao</t>
  </si>
  <si>
    <t>ramesh.rao@outlook.com</t>
  </si>
  <si>
    <t>Sree Vidyanikethan Engineering College - Nellore Campus</t>
  </si>
  <si>
    <t>Prof. Lakshmi Pillai</t>
  </si>
  <si>
    <t>lakshmi.pillai@gmail.com</t>
  </si>
  <si>
    <t>Sri Krishnadevaraya University Anantapur - Chittoor Campus</t>
  </si>
  <si>
    <t>Prof. Anand Menon</t>
  </si>
  <si>
    <t>anand.menon@yahoo.com</t>
  </si>
  <si>
    <t>Mr. Sundar Swamy</t>
  </si>
  <si>
    <t>sundar.swamy@yahoo.com</t>
  </si>
  <si>
    <t>GMR Institute of Technology - Madanapalle Campus</t>
  </si>
  <si>
    <t>Prof. Divya Varma</t>
  </si>
  <si>
    <t>divya.varma@yahoo.com</t>
  </si>
  <si>
    <t>Ms. Sunitha Krishnan</t>
  </si>
  <si>
    <t>sunitha.krishnan@outlook.com</t>
  </si>
  <si>
    <t>Maharaja's Government College Vizianagaram - Machilipatnam Campus</t>
  </si>
  <si>
    <t>Dr. Kumar Varma</t>
  </si>
  <si>
    <t>Ms. Suresh Sharma</t>
  </si>
  <si>
    <t>Lakireddy Bali Reddy College of Engineering - Anantapur Campus</t>
  </si>
  <si>
    <t>Prof. Sushma Krishnan</t>
  </si>
  <si>
    <t>Mr. Naveen Iyer</t>
  </si>
  <si>
    <t>naveen.iyer@yahoo.com</t>
  </si>
  <si>
    <t>Sri Venkateswara University Tirupati - Nellore Campus</t>
  </si>
  <si>
    <t>Dr. Sunitha Menon</t>
  </si>
  <si>
    <t>sunitha.menon@outlook.com</t>
  </si>
  <si>
    <t>Mr. Meena Subramaniam</t>
  </si>
  <si>
    <t>meena.subramaniam@outlook.com</t>
  </si>
  <si>
    <t>IIIT Hyderabad</t>
  </si>
  <si>
    <t>Telangana</t>
  </si>
  <si>
    <t>Suryapet</t>
  </si>
  <si>
    <t>Dr. Latha Naidu</t>
  </si>
  <si>
    <t>Mr. Murthy Sharma</t>
  </si>
  <si>
    <t>www.iiithyde.edu.in</t>
  </si>
  <si>
    <t>University of Hyderabad</t>
  </si>
  <si>
    <t>Medak</t>
  </si>
  <si>
    <t>Prof. Suresh Iyer</t>
  </si>
  <si>
    <t>suresh.iyer@gmail.com</t>
  </si>
  <si>
    <t>Ms. Padma Kumar</t>
  </si>
  <si>
    <t>padma.kumar@yahoo.com</t>
  </si>
  <si>
    <t>www.univof.edu.in</t>
  </si>
  <si>
    <t>SR University Warangal</t>
  </si>
  <si>
    <t>Bhongir</t>
  </si>
  <si>
    <t>Dr. Suresh Acharya</t>
  </si>
  <si>
    <t>suresh.acharya@yahoo.com</t>
  </si>
  <si>
    <t>www.sruniv.edu.in</t>
  </si>
  <si>
    <t>Osmania University College of Engineering</t>
  </si>
  <si>
    <t>Sangareddy</t>
  </si>
  <si>
    <t>Dr. Meena Iyer</t>
  </si>
  <si>
    <t>meena.iyer@gmail.com</t>
  </si>
  <si>
    <t>Ms. Vikram Subramaniam</t>
  </si>
  <si>
    <t>www.osmauniv.edu.in</t>
  </si>
  <si>
    <t>JNTU Hyderabad College of Engineering</t>
  </si>
  <si>
    <t>Khammam</t>
  </si>
  <si>
    <t>Prof. Vikram Reddy</t>
  </si>
  <si>
    <t>vikram.reddy@outlook.com</t>
  </si>
  <si>
    <t>Ms. Bharat Naidu</t>
  </si>
  <si>
    <t>bharat.naidu@gmail.com</t>
  </si>
  <si>
    <t>www.jntuhyde.edu.in</t>
  </si>
  <si>
    <t>Vasavi College of Engineering</t>
  </si>
  <si>
    <t>Prof. Sushma Naidu</t>
  </si>
  <si>
    <t>sushma.naidu@outlook.com</t>
  </si>
  <si>
    <t>geetha.varma@yahoo.com</t>
  </si>
  <si>
    <t>www.vasacoll.edu.in</t>
  </si>
  <si>
    <t>CBIT Hyderabad</t>
  </si>
  <si>
    <t>Wanaparthy</t>
  </si>
  <si>
    <t>Prof. Prakash Acharya</t>
  </si>
  <si>
    <t>prakash.acharya@yahoo.com</t>
  </si>
  <si>
    <t>radha.patil@gmail.com</t>
  </si>
  <si>
    <t>www.cbithyde.edu.in</t>
  </si>
  <si>
    <t>Mahindra University Hyderabad</t>
  </si>
  <si>
    <t>Miryalaguda</t>
  </si>
  <si>
    <t>Prof. Sundar Verma</t>
  </si>
  <si>
    <t>sundar.verma@yahoo.com</t>
  </si>
  <si>
    <t>Ms. Ganesh Menon</t>
  </si>
  <si>
    <t>ganesh.menon@yahoo.com</t>
  </si>
  <si>
    <t>www.mahiuniv.edu.in</t>
  </si>
  <si>
    <t>Vardhaman College of Engineering</t>
  </si>
  <si>
    <t>Karimnagar</t>
  </si>
  <si>
    <t>Prof. Bharat Varma</t>
  </si>
  <si>
    <t>Mr. Ganesh Patil</t>
  </si>
  <si>
    <t>ganesh.patil@yahoo.com</t>
  </si>
  <si>
    <t>www.vardcoll.edu.in</t>
  </si>
  <si>
    <t>CVR College of Engineering</t>
  </si>
  <si>
    <t>Vikarabad</t>
  </si>
  <si>
    <t>Dr. Uma Nair</t>
  </si>
  <si>
    <t>uma.nair@outlook.com</t>
  </si>
  <si>
    <t>Mr. Radha Sharma</t>
  </si>
  <si>
    <t>radha.sharma@outlook.com</t>
  </si>
  <si>
    <t>www.cvrcoll.edu.in</t>
  </si>
  <si>
    <t>Gokaraju Rangaraju Institute of Engineering and Technology</t>
  </si>
  <si>
    <t>Nalgonda</t>
  </si>
  <si>
    <t>Dr. Vijay Iyer</t>
  </si>
  <si>
    <t>vijay.iyer@gmail.com</t>
  </si>
  <si>
    <t>Mr. Ramesh Reddy</t>
  </si>
  <si>
    <t>ramesh.reddy@outlook.com</t>
  </si>
  <si>
    <t>www.gokarang.edu.in</t>
  </si>
  <si>
    <t>MVSR Engineering College</t>
  </si>
  <si>
    <t>Kamareddy</t>
  </si>
  <si>
    <t>Prof. Divya Verma</t>
  </si>
  <si>
    <t>divya.verma@gmail.com</t>
  </si>
  <si>
    <t>www.mvsrengi.edu.in</t>
  </si>
  <si>
    <t>Sreenidhi Institute of Science and Technology</t>
  </si>
  <si>
    <t>Dr. Bharat Bhat</t>
  </si>
  <si>
    <t>bharat.bhat@outlook.com</t>
  </si>
  <si>
    <t>sushma.sharma@outlook.com</t>
  </si>
  <si>
    <t>www.sreeinst.edu.in</t>
  </si>
  <si>
    <t>Vidya Jyothi Institute of Technology</t>
  </si>
  <si>
    <t>Prof. Anitha Reddy</t>
  </si>
  <si>
    <t>Mr. Ravi Reddy</t>
  </si>
  <si>
    <t>ravi.reddy@gmail.com</t>
  </si>
  <si>
    <t>www.vidyjyot.edu.in</t>
  </si>
  <si>
    <t>Kakatiya Institute of Technology and Science Warangal</t>
  </si>
  <si>
    <t>divya.varma@gmail.com</t>
  </si>
  <si>
    <t>Ms. Padma Bhat</t>
  </si>
  <si>
    <t>padma.bhat@outlook.com</t>
  </si>
  <si>
    <t>www.kakainst.edu.in</t>
  </si>
  <si>
    <t>Mahatma Gandhi Institute of Technology</t>
  </si>
  <si>
    <t>Mahbubnagar</t>
  </si>
  <si>
    <t>Prof. Revathi Krishnan</t>
  </si>
  <si>
    <t>revathi.krishnan@yahoo.com</t>
  </si>
  <si>
    <t>Mr. Suresh Krishnan</t>
  </si>
  <si>
    <t>suresh.krishnan@yahoo.com</t>
  </si>
  <si>
    <t>www.mahagand.edu.in</t>
  </si>
  <si>
    <t>Methodist College of Engineering and Technology</t>
  </si>
  <si>
    <t>Nizamabad</t>
  </si>
  <si>
    <t>Dr. Bharat Patil</t>
  </si>
  <si>
    <t>Mr. Anand Subramaniam</t>
  </si>
  <si>
    <t>anand.subramaniam@outlook.com</t>
  </si>
  <si>
    <t>www.methcoll.edu.in</t>
  </si>
  <si>
    <t>Anurag University Hyderabad</t>
  </si>
  <si>
    <t>sanjay.menon@gmail.com</t>
  </si>
  <si>
    <t>Mr. Murthy Krishnan</t>
  </si>
  <si>
    <t>murthy.krishnan@yahoo.com</t>
  </si>
  <si>
    <t>www.anuruniv.edu.in</t>
  </si>
  <si>
    <t>Geethanjali College of Engineering and Technology</t>
  </si>
  <si>
    <t>Dr. Vikram Swamy</t>
  </si>
  <si>
    <t>vikram.swamy@gmail.com</t>
  </si>
  <si>
    <t>Mr. Vikram Swamy</t>
  </si>
  <si>
    <t>vikram.swamy@yahoo.com</t>
  </si>
  <si>
    <t>www.geetcoll.edu.in</t>
  </si>
  <si>
    <t>Stanley College of Engineering and Technology for Women</t>
  </si>
  <si>
    <t>Dr. Uma Naidu</t>
  </si>
  <si>
    <t>uma.naidu@outlook.com</t>
  </si>
  <si>
    <t>www.stancoll.edu.in</t>
  </si>
  <si>
    <t>Matrusri Engineering College</t>
  </si>
  <si>
    <t>Jagtial</t>
  </si>
  <si>
    <t>Prof. Mahesh Swamy</t>
  </si>
  <si>
    <t>mahesh.swamy@gmail.com</t>
  </si>
  <si>
    <t>www.matrengi.edu.in</t>
  </si>
  <si>
    <t>Bharat Institute of Engineering and Technology</t>
  </si>
  <si>
    <t>Prof. Ramesh Menon</t>
  </si>
  <si>
    <t>ramesh.menon@yahoo.com</t>
  </si>
  <si>
    <t>Ms. Meena Gowda</t>
  </si>
  <si>
    <t>meena.gowda@outlook.com</t>
  </si>
  <si>
    <t>www.bharinst.edu.in</t>
  </si>
  <si>
    <t>Vignana Bharathi Institute of Technology</t>
  </si>
  <si>
    <t>Prof. Radha Rao</t>
  </si>
  <si>
    <t>radha.rao@outlook.com</t>
  </si>
  <si>
    <t>Mr. Arjun Gowda</t>
  </si>
  <si>
    <t>arjun.gowda@yahoo.com</t>
  </si>
  <si>
    <t>www.vignbhar.edu.in</t>
  </si>
  <si>
    <t>Malla Reddy Engineering College</t>
  </si>
  <si>
    <t>Hyderabad</t>
  </si>
  <si>
    <t>Prof. Krishna Iyer</t>
  </si>
  <si>
    <t>krishna.iyer@gmail.com</t>
  </si>
  <si>
    <t>Mr. Vijay Murthy</t>
  </si>
  <si>
    <t>vijay.murthy@outlook.com</t>
  </si>
  <si>
    <t>www.mallredd.edu.in</t>
  </si>
  <si>
    <t>Guru Nanak Institutions Technical Campus</t>
  </si>
  <si>
    <t>Dr. Sundar Naidu</t>
  </si>
  <si>
    <t>sundar.naidu@yahoo.com</t>
  </si>
  <si>
    <t>Ms. Radha Pillai</t>
  </si>
  <si>
    <t>radha.pillai@outlook.com</t>
  </si>
  <si>
    <t>www.gurunana.edu.in</t>
  </si>
  <si>
    <t>Nalla Malla Reddy Engineering College</t>
  </si>
  <si>
    <t>Siddipet</t>
  </si>
  <si>
    <t>Dr. Krishna Swamy</t>
  </si>
  <si>
    <t>krishna.swamy@gmail.com</t>
  </si>
  <si>
    <t>Ms. Anand Patil</t>
  </si>
  <si>
    <t>www.nallmall.edu.in</t>
  </si>
  <si>
    <t>Osmania University Arts College</t>
  </si>
  <si>
    <t>Dr. Anand Pillai</t>
  </si>
  <si>
    <t>anand.pillai@outlook.com</t>
  </si>
  <si>
    <t>Mr. Krishna Acharya</t>
  </si>
  <si>
    <t>Kakatiya University Warangal</t>
  </si>
  <si>
    <t>Prof. Shanti Bhat</t>
  </si>
  <si>
    <t>shanti.bhat@yahoo.com</t>
  </si>
  <si>
    <t>anand.subramaniam@gmail.com</t>
  </si>
  <si>
    <t>www.kakauniv.edu.in</t>
  </si>
  <si>
    <t>Telangana University Nizamabad</t>
  </si>
  <si>
    <t>Dr. Kavitha Subramaniam</t>
  </si>
  <si>
    <t>kavitha.subramaniam@yahoo.com</t>
  </si>
  <si>
    <t>Mr. Radha Menon</t>
  </si>
  <si>
    <t>radha.menon@outlook.com</t>
  </si>
  <si>
    <t>www.telauniv.edu.in</t>
  </si>
  <si>
    <t>Palamuru University Mahabubnagar</t>
  </si>
  <si>
    <t>Ramagundam</t>
  </si>
  <si>
    <t>Prof. Arjun Reddy</t>
  </si>
  <si>
    <t>Mr. Karthik Krishnan</t>
  </si>
  <si>
    <t>karthik.krishnan@gmail.com</t>
  </si>
  <si>
    <t>www.palauniv.edu.in</t>
  </si>
  <si>
    <t>Satavahana University Karimnagar</t>
  </si>
  <si>
    <t>Prof. Suresh Chandran</t>
  </si>
  <si>
    <t>suresh.chandran@gmail.com</t>
  </si>
  <si>
    <t>Mr. Sunitha Acharya</t>
  </si>
  <si>
    <t>sunitha.acharya@outlook.com</t>
  </si>
  <si>
    <t>www.satauniv.edu.in</t>
  </si>
  <si>
    <t>Government City College Hyderabad</t>
  </si>
  <si>
    <t>Warangal</t>
  </si>
  <si>
    <t>Dr. Ramesh Naidu</t>
  </si>
  <si>
    <t>ramesh.naidu@outlook.com</t>
  </si>
  <si>
    <t>Mr. Murthy Nair</t>
  </si>
  <si>
    <t>murthy.nair@yahoo.com</t>
  </si>
  <si>
    <t>www.govecity.edu.in</t>
  </si>
  <si>
    <t>Nizam College Hyderabad</t>
  </si>
  <si>
    <t>Prof. Sushma Sharma</t>
  </si>
  <si>
    <t>www.nizacoll.edu.in</t>
  </si>
  <si>
    <t>St Francis College for Women Hyderabad</t>
  </si>
  <si>
    <t>Dr. Geetha Rao</t>
  </si>
  <si>
    <t>geetha.rao@outlook.com</t>
  </si>
  <si>
    <t>Mr. Ravi Nair</t>
  </si>
  <si>
    <t>ravi.nair@outlook.com</t>
  </si>
  <si>
    <t>www.stfran.edu.in</t>
  </si>
  <si>
    <t>Loyola Academy Secunderabad</t>
  </si>
  <si>
    <t>Prof. Shanti Reddy</t>
  </si>
  <si>
    <t>shanti.reddy@gmail.com</t>
  </si>
  <si>
    <t>www.loyoacad.edu.in</t>
  </si>
  <si>
    <t>Badruka College of Commerce and Arts</t>
  </si>
  <si>
    <t>Prof. Anitha Kumar</t>
  </si>
  <si>
    <t>anitha.kumar@outlook.com</t>
  </si>
  <si>
    <t>arjun.nair@outlook.com</t>
  </si>
  <si>
    <t>www.badrcoll.edu.in</t>
  </si>
  <si>
    <t>St Joseph's Degree and PG College Hyderabad</t>
  </si>
  <si>
    <t>Dr. Shanti Patil</t>
  </si>
  <si>
    <t>shanti.patil@gmail.com</t>
  </si>
  <si>
    <t>Mr. Suresh Murthy</t>
  </si>
  <si>
    <t>suresh.murthy@outlook.com</t>
  </si>
  <si>
    <t>www.stdegr.edu.in</t>
  </si>
  <si>
    <t>Aurora's Degree and PG College Hyderabad</t>
  </si>
  <si>
    <t>Adilabad</t>
  </si>
  <si>
    <t>Dr. Ganesh Kumar</t>
  </si>
  <si>
    <t>ganesh.kumar@yahoo.com</t>
  </si>
  <si>
    <t>Mr. Sundar Pillai</t>
  </si>
  <si>
    <t>www.degrand.edu.in</t>
  </si>
  <si>
    <t>Sreenidhi Institute of Science and Technology - Siddipet Campus</t>
  </si>
  <si>
    <t>Secunderabad</t>
  </si>
  <si>
    <t>Dr. Anand Patil</t>
  </si>
  <si>
    <t>anand.patil@outlook.com</t>
  </si>
  <si>
    <t>Ms. Mahesh Bhat</t>
  </si>
  <si>
    <t>mahesh.bhat@gmail.com</t>
  </si>
  <si>
    <t>Guru Nanak Institutions Technical Campus - Suryapet Campus</t>
  </si>
  <si>
    <t>Dr. Vikram Reddy</t>
  </si>
  <si>
    <t>vikram.reddy@gmail.com</t>
  </si>
  <si>
    <t>Ms. Radha Bhat</t>
  </si>
  <si>
    <t>Gokaraju Rangaraju Institute of Engineering and Technology - Kamareddy Campus</t>
  </si>
  <si>
    <t>Mr. Divya Rao</t>
  </si>
  <si>
    <t>divya.rao@gmail.com</t>
  </si>
  <si>
    <t>CVR College of Engineering - Vikarabad Campus</t>
  </si>
  <si>
    <t>Prof. Shanti Nair</t>
  </si>
  <si>
    <t>shanti.nair@yahoo.com</t>
  </si>
  <si>
    <t>Ms. Bharat Pillai</t>
  </si>
  <si>
    <t>bharat.pillai@outlook.com</t>
  </si>
  <si>
    <t>Vardhaman College of Engineering - Suryapet Campus</t>
  </si>
  <si>
    <t>Prof. Karthik Acharya</t>
  </si>
  <si>
    <t>karthik.acharya@yahoo.com</t>
  </si>
  <si>
    <t>Mr. Sushma Naidu</t>
  </si>
  <si>
    <t>sushma.naidu@yahoo.com</t>
  </si>
  <si>
    <t>JNTU Hyderabad College of Engineering - Miryalaguda Campus</t>
  </si>
  <si>
    <t>Mr. Mahesh Gowda</t>
  </si>
  <si>
    <t>mahesh.gowda@outlook.com</t>
  </si>
  <si>
    <t>Malla Reddy Engineering College - Sangareddy Campus</t>
  </si>
  <si>
    <t>Dr. Lakshmi Rao</t>
  </si>
  <si>
    <t>lakshmi.rao@outlook.com</t>
  </si>
  <si>
    <t>Mr. Shanti Krishnan</t>
  </si>
  <si>
    <t>Vignana Bharathi Institute of Technology - Adilabad Campus</t>
  </si>
  <si>
    <t>Dr. Shanti Subramaniam</t>
  </si>
  <si>
    <t>shanti.subramaniam@outlook.com</t>
  </si>
  <si>
    <t>Palamuru University Mahabubnagar - Nizamabad Campus</t>
  </si>
  <si>
    <t>Dr. Uma Reddy</t>
  </si>
  <si>
    <t>uma.reddy@gmail.com</t>
  </si>
  <si>
    <t>Mr. Karthik Menon</t>
  </si>
  <si>
    <t>karthik.menon@yahoo.com</t>
  </si>
  <si>
    <t>Telangana University Nizamabad - Hyderabad Campus</t>
  </si>
  <si>
    <t>Prof. Uma Krishnan</t>
  </si>
  <si>
    <t>uma.krishnan@outlook.com</t>
  </si>
  <si>
    <t>sunitha.subramaniam@yahoo.com</t>
  </si>
  <si>
    <t>Stanley College of Engineering and Technology for Women - Mahbubnagar Campus</t>
  </si>
  <si>
    <t>ganesh.subramaniam@yahoo.com</t>
  </si>
  <si>
    <t>Mr. Naveen Reddy</t>
  </si>
  <si>
    <t>naveen.reddy@gmail.com</t>
  </si>
  <si>
    <t>St Joseph's Degree and PG College Hyderabad - Khammam Campus</t>
  </si>
  <si>
    <t>Dr. Kavitha Acharya</t>
  </si>
  <si>
    <t>kavitha.acharya@outlook.com</t>
  </si>
  <si>
    <t>Mr. Revathi Menon</t>
  </si>
  <si>
    <t>CVR College of Engineering - Sangareddy Campus</t>
  </si>
  <si>
    <t>lakshmi.nair@outlook.com</t>
  </si>
  <si>
    <t>Badruka College of Commerce and Arts - Karimnagar Campus</t>
  </si>
  <si>
    <t>Dr. Sunitha Rao</t>
  </si>
  <si>
    <t>Nalla Malla Reddy Engineering College - Ramagundam Campus</t>
  </si>
  <si>
    <t>sanjay.verma@yahoo.com</t>
  </si>
  <si>
    <t>Telangana University Nizamabad - Jagtial Campus</t>
  </si>
  <si>
    <t>Dr. Mohan Iyer</t>
  </si>
  <si>
    <t>Ms. Sunitha Sharma</t>
  </si>
  <si>
    <t>sunitha.sharma@gmail.com</t>
  </si>
  <si>
    <t>Anurag University Hyderabad - Jagtial Campus</t>
  </si>
  <si>
    <t>Prof. Uma Murthy</t>
  </si>
  <si>
    <t>uma.murthy@yahoo.com</t>
  </si>
  <si>
    <t>IIIT Hyderabad - Khammam Campus</t>
  </si>
  <si>
    <t>Prof. Naveen Patil</t>
  </si>
  <si>
    <t>Mr. Bharat Kumar</t>
  </si>
  <si>
    <t>bharat.kumar@gmail.com</t>
  </si>
  <si>
    <t>Malla Reddy Engineering College - Vikarabad Campus</t>
  </si>
  <si>
    <t>Dr. Krishna Naidu</t>
  </si>
  <si>
    <t>krishna.naidu@outlook.com</t>
  </si>
  <si>
    <t>Mr. Mohan Sharma</t>
  </si>
  <si>
    <t>mohan.sharma@yahoo.com</t>
  </si>
  <si>
    <t>Anurag University Hyderabad - Suryapet Campus</t>
  </si>
  <si>
    <t>Dr. Padma Iyer</t>
  </si>
  <si>
    <t>padma.iyer@outlook.com</t>
  </si>
  <si>
    <t>Mr. Prakash Varma</t>
  </si>
  <si>
    <t>prakash.varma@gmail.com</t>
  </si>
  <si>
    <t>Malla Reddy Engineering College - Karimnagar Campus</t>
  </si>
  <si>
    <t>Prof. Anitha Sharma</t>
  </si>
  <si>
    <t>anitha.sharma@gmail.com</t>
  </si>
  <si>
    <t>Mr. Kumar Reddy</t>
  </si>
  <si>
    <t>kumar.reddy@outlook.com</t>
  </si>
  <si>
    <t>Badruka College of Commerce and Arts - Kamareddy Campus</t>
  </si>
  <si>
    <t>Ms. Kavitha Reddy</t>
  </si>
  <si>
    <t>kavitha.reddy@yahoo.com</t>
  </si>
  <si>
    <t>Mahindra University Hyderabad - Secunderabad Campus</t>
  </si>
  <si>
    <t>Dr. Divya Nair</t>
  </si>
  <si>
    <t>divya.nair@gmail.com</t>
  </si>
  <si>
    <t>Mr. Shanti Bhat</t>
  </si>
  <si>
    <t>shanti.bhat@gmail.com</t>
  </si>
  <si>
    <t>Nizam College Hyderabad - Vikarabad Campus</t>
  </si>
  <si>
    <t>Dr. Sundar Varma</t>
  </si>
  <si>
    <t>sundar.varma@gmail.com</t>
  </si>
  <si>
    <t>Mr. Arjun Naidu</t>
  </si>
  <si>
    <t>arjun.naidu@outlook.com</t>
  </si>
  <si>
    <t>Anurag University Hyderabad - Vikarabad Campus</t>
  </si>
  <si>
    <t>Dr. Sunitha Iyer</t>
  </si>
  <si>
    <t>sunitha.iyer@outlook.com</t>
  </si>
  <si>
    <t>Mr. Sanjay Naidu</t>
  </si>
  <si>
    <t>sanjay.naidu@outlook.com</t>
  </si>
  <si>
    <t>Nizam College Hyderabad - Medak Campus</t>
  </si>
  <si>
    <t>Prof. Divya Iyer</t>
  </si>
  <si>
    <t>divya.iyer@outlook.com</t>
  </si>
  <si>
    <t>Mr. Anitha Nair</t>
  </si>
  <si>
    <t>anitha.nair@yahoo.com</t>
  </si>
  <si>
    <t>Vardhaman College of Engineering - Medak Campus</t>
  </si>
  <si>
    <t>Prof. Radha Varma</t>
  </si>
  <si>
    <t>radha.varma@outlook.com</t>
  </si>
  <si>
    <t>Ms. Geetha Rao</t>
  </si>
  <si>
    <t>JNTU Hyderabad College of Engineering - Medak Campus</t>
  </si>
  <si>
    <t>Dr. Sundar Reddy</t>
  </si>
  <si>
    <t>Ms. Prakash Naidu</t>
  </si>
  <si>
    <t>prakash.naidu@gmail.com</t>
  </si>
  <si>
    <t>Nalla Malla Reddy Engineering College - Karimnagar Campus</t>
  </si>
  <si>
    <t>Mr. Radha Nair</t>
  </si>
  <si>
    <t>radha.nair@gmail.com</t>
  </si>
  <si>
    <t>Vardhaman College of Engineering - Hyderabad Campus</t>
  </si>
  <si>
    <t>Prof. Meena Reddy</t>
  </si>
  <si>
    <t>meena.reddy@yahoo.com</t>
  </si>
  <si>
    <t>Mr. Prakash Pillai</t>
  </si>
  <si>
    <t>prakash.pillai@outlook.com</t>
  </si>
  <si>
    <t>Geethanjali College of Engineering and Technology - Medak Campus</t>
  </si>
  <si>
    <t>Dr. Latha Acharya</t>
  </si>
  <si>
    <t>Ms. Geetha Acharya</t>
  </si>
  <si>
    <t>geetha.acharya@gmail.com</t>
  </si>
  <si>
    <t>Gokaraju Rangaraju Institute of Engineering and Technology - Medak Campus</t>
  </si>
  <si>
    <t>Prof. Shanti Subramaniam</t>
  </si>
  <si>
    <t>Mr. Mahesh Chandran</t>
  </si>
  <si>
    <t>Vignana Bharathi Institute of Technology - Nalgonda Campus</t>
  </si>
  <si>
    <t>Dr. Lakshmi Chandran</t>
  </si>
  <si>
    <t>lakshmi.chandran@gmail.com</t>
  </si>
  <si>
    <t>Ms. Priya Verma</t>
  </si>
  <si>
    <t>priya.verma@yahoo.com</t>
  </si>
  <si>
    <t>Mahatma Gandhi Institute of Technology - Nalgonda Campus</t>
  </si>
  <si>
    <t>Prof. Suresh Acharya</t>
  </si>
  <si>
    <t>padma.bhat@yahoo.com</t>
  </si>
  <si>
    <t>University of Hyderabad - Siddipet Campus</t>
  </si>
  <si>
    <t>Mr. Lakshmi Naidu</t>
  </si>
  <si>
    <t>lakshmi.naidu@outlook.com</t>
  </si>
  <si>
    <t>Government City College Hyderabad - Nizamabad Campus</t>
  </si>
  <si>
    <t>Dr. Prakash Krishnan</t>
  </si>
  <si>
    <t>prakash.krishnan@yahoo.com</t>
  </si>
  <si>
    <t>Ms. Anand Krishnan</t>
  </si>
  <si>
    <t>JNTU Hyderabad College of Engineering - Nalgonda Campus</t>
  </si>
  <si>
    <t>Loyola Academy Secunderabad - Kamareddy Campus</t>
  </si>
  <si>
    <t>Dr. Murthy Bhat</t>
  </si>
  <si>
    <t>murthy.bhat@yahoo.com</t>
  </si>
  <si>
    <t>Ms. Anand Iyer</t>
  </si>
  <si>
    <t>anand.iyer@yahoo.com</t>
  </si>
  <si>
    <t>Gokaraju Rangaraju Institute of Engineering and Technology - Adilabad Campus</t>
  </si>
  <si>
    <t>Prof. Radha Patil</t>
  </si>
  <si>
    <t>radha.patil@outlook.com</t>
  </si>
  <si>
    <t>Ms. Divya Murthy</t>
  </si>
  <si>
    <t>Methodist College of Engineering and Technology - Adilabad Campus</t>
  </si>
  <si>
    <t>Dr. Meena Varma</t>
  </si>
  <si>
    <t>meena.varma@yahoo.com</t>
  </si>
  <si>
    <t>Mr. Anitha Verma</t>
  </si>
  <si>
    <t>anitha.verma@outlook.com</t>
  </si>
  <si>
    <t>Mahindra University Hyderabad - Vikarabad Campus</t>
  </si>
  <si>
    <t>Dr. Meena Sharma</t>
  </si>
  <si>
    <t>meena.sharma@outlook.com</t>
  </si>
  <si>
    <t>latha.rao@yahoo.com</t>
  </si>
  <si>
    <t>Vidya Jyothi Institute of Technology - Adilabad Campus</t>
  </si>
  <si>
    <t>Dr. Meena Subramaniam</t>
  </si>
  <si>
    <t>meena.subramaniam@yahoo.com</t>
  </si>
  <si>
    <t>Ms. Bharat Swamy</t>
  </si>
  <si>
    <t>bharat.swamy@gmail.com</t>
  </si>
  <si>
    <t>Stanley College of Engineering and Technology for Women - Hyderabad Campus</t>
  </si>
  <si>
    <t>Prof. Sundar Subramaniam</t>
  </si>
  <si>
    <t>sundar.subramaniam@gmail.com</t>
  </si>
  <si>
    <t>Ms. Latha Kumar</t>
  </si>
  <si>
    <t>latha.kumar@yahoo.com</t>
  </si>
  <si>
    <t>Mr. Divya Nair</t>
  </si>
  <si>
    <t>Osmania University Arts College - Kamareddy Campus</t>
  </si>
  <si>
    <t>Prof. Ravi Kumar</t>
  </si>
  <si>
    <t>ravi.kumar@yahoo.com</t>
  </si>
  <si>
    <t>St Francis College for Women Hyderabad - Khammam Campus</t>
  </si>
  <si>
    <t>Prof. Naveen Krishnan</t>
  </si>
  <si>
    <t>naveen.krishnan@yahoo.com</t>
  </si>
  <si>
    <t>Ms. Arjun Pillai</t>
  </si>
  <si>
    <t>arjun.pillai@yahoo.com</t>
  </si>
  <si>
    <t>St Joseph's Degree and PG College Hyderabad - Secunderabad Campus</t>
  </si>
  <si>
    <t>mahesh.chandran@outlook.com</t>
  </si>
  <si>
    <t>krishna.reddy@gmail.com</t>
  </si>
  <si>
    <t>St Francis College for Women Hyderabad - Jagtial Campus</t>
  </si>
  <si>
    <t>Prof. Sanjay Patil</t>
  </si>
  <si>
    <t>sanjay.patil@yahoo.com</t>
  </si>
  <si>
    <t>Mr. Divya Iyer</t>
  </si>
  <si>
    <t>Sreenidhi Institute of Science and Technology - Jagtial Campus</t>
  </si>
  <si>
    <t>Dr. Kavitha Krishnan</t>
  </si>
  <si>
    <t>kavitha.krishnan@outlook.com</t>
  </si>
  <si>
    <t>lakshmi.rao@yahoo.com</t>
  </si>
  <si>
    <t>Ms. Suresh Kumar</t>
  </si>
  <si>
    <t>Malla Reddy Engineering College - Khammam Campus</t>
  </si>
  <si>
    <t>Prof. Ravi Pillai</t>
  </si>
  <si>
    <t>ravi.pillai@yahoo.com</t>
  </si>
  <si>
    <t>sunitha.sharma@yahoo.com</t>
  </si>
  <si>
    <t>Mr. Meena Patil</t>
  </si>
  <si>
    <t>meena.patil@gmail.com</t>
  </si>
  <si>
    <t>Osmania University College of Engineering - Secunderabad Campus</t>
  </si>
  <si>
    <t>uma.acharya@yahoo.com</t>
  </si>
  <si>
    <t>Vignana Bharathi Institute of Technology - Nizamabad Campus</t>
  </si>
  <si>
    <t>Dr. Sunitha Krishnan</t>
  </si>
  <si>
    <t>sunitha.krishnan@gmail.com</t>
  </si>
  <si>
    <t>Ms. Anand Rao</t>
  </si>
  <si>
    <t>anand.rao@yahoo.com</t>
  </si>
  <si>
    <t>Mahindra University Hyderabad - Miryalaguda Campus</t>
  </si>
  <si>
    <t>Prof. Radha Swamy</t>
  </si>
  <si>
    <t>radha.swamy@outlook.com</t>
  </si>
  <si>
    <t>Mr. Ramesh Sharma</t>
  </si>
  <si>
    <t>ramesh.sharma@gmail.com</t>
  </si>
  <si>
    <t>Osmania University College of Engineering - Nalgonda Campus</t>
  </si>
  <si>
    <t>sushma.pillai@gmail.com</t>
  </si>
  <si>
    <t>Mr. Ganesh Chandran</t>
  </si>
  <si>
    <t>ganesh.chandran@yahoo.com</t>
  </si>
  <si>
    <t>Stanley College of Engineering and Technology for Women - Medak Campus</t>
  </si>
  <si>
    <t>Prof. Padma Iyer</t>
  </si>
  <si>
    <t>padma.iyer@yahoo.com</t>
  </si>
  <si>
    <t>Ms. Latha Patil</t>
  </si>
  <si>
    <t>latha.patil@yahoo.com</t>
  </si>
  <si>
    <t>Malla Reddy Engineering College - Kamareddy Campus</t>
  </si>
  <si>
    <t>Dr. Mohan Patil</t>
  </si>
  <si>
    <t>mohan.patil@outlook.com</t>
  </si>
  <si>
    <t>Mr. Sunitha Pillai</t>
  </si>
  <si>
    <t>sunitha.pillai@yahoo.com</t>
  </si>
  <si>
    <t>Satavahana University Karimnagar - Nalgonda Campus</t>
  </si>
  <si>
    <t>Dr. Anand Murthy</t>
  </si>
  <si>
    <t>anand.murthy@outlook.com</t>
  </si>
  <si>
    <t>Mr. Padma Bhat</t>
  </si>
  <si>
    <t>Methodist College of Engineering and Technology - Vikarabad Campus</t>
  </si>
  <si>
    <t>MVSR Engineering College - Nizamabad Campus</t>
  </si>
  <si>
    <t>Ms. Radha Chandran</t>
  </si>
  <si>
    <t>Nalla Malla Reddy Engineering College - Nalgonda Campus</t>
  </si>
  <si>
    <t>Dr. Kumar Patil</t>
  </si>
  <si>
    <t>kumar.patil@outlook.com</t>
  </si>
  <si>
    <t>Mr. Bharat Bhat</t>
  </si>
  <si>
    <t>College of Engineering Trivandrum</t>
  </si>
  <si>
    <t>Kerala</t>
  </si>
  <si>
    <t>Ernakulam</t>
  </si>
  <si>
    <t>Prof. Uma Patil</t>
  </si>
  <si>
    <t>uma.patil@gmail.com</t>
  </si>
  <si>
    <t>Ms. Bharat Iyer</t>
  </si>
  <si>
    <t>bharat.iyer@yahoo.com</t>
  </si>
  <si>
    <t>NSS College of Engineering Palakkad</t>
  </si>
  <si>
    <t>Thrissur</t>
  </si>
  <si>
    <t>Ms. Padma Krishnan</t>
  </si>
  <si>
    <t>padma.krishnan@outlook.com</t>
  </si>
  <si>
    <t>www.nsscoll.edu.in</t>
  </si>
  <si>
    <t>Government Engineering College Thrissur</t>
  </si>
  <si>
    <t>Thiruvananthapuram</t>
  </si>
  <si>
    <t>TKM College of Engineering Kollam</t>
  </si>
  <si>
    <t>Kannur</t>
  </si>
  <si>
    <t>Prof. Ravi Menon</t>
  </si>
  <si>
    <t>ravi.menon@outlook.com</t>
  </si>
  <si>
    <t>Mr. Latha Bhat</t>
  </si>
  <si>
    <t>latha.bhat@outlook.com</t>
  </si>
  <si>
    <t>www.tkmcoll.edu.in</t>
  </si>
  <si>
    <t>Rajagiri School of Engineering and Technology</t>
  </si>
  <si>
    <t>Palakkad</t>
  </si>
  <si>
    <t>Prof. Prakash Bhat</t>
  </si>
  <si>
    <t>prakash.bhat@yahoo.com</t>
  </si>
  <si>
    <t>bharat.iyer@outlook.com</t>
  </si>
  <si>
    <t>www.rajascho.edu.in</t>
  </si>
  <si>
    <t>Model Engineering College Kochi</t>
  </si>
  <si>
    <t>Idukki</t>
  </si>
  <si>
    <t>Ms. Krishna Sharma</t>
  </si>
  <si>
    <t>krishna.sharma@yahoo.com</t>
  </si>
  <si>
    <t>www.modeengi.edu.in</t>
  </si>
  <si>
    <t>Cochin University of Science and Technology</t>
  </si>
  <si>
    <t>Changanassery</t>
  </si>
  <si>
    <t>Dr. Prakash Subramaniam</t>
  </si>
  <si>
    <t>prakash.subramaniam@gmail.com</t>
  </si>
  <si>
    <t>Mr. Prakash Naidu</t>
  </si>
  <si>
    <t>prakash.naidu@outlook.com</t>
  </si>
  <si>
    <t>www.cochuniv.edu.in</t>
  </si>
  <si>
    <t>Government College of Engineering Kannur</t>
  </si>
  <si>
    <t>Malappuram</t>
  </si>
  <si>
    <t>ravi.nair@gmail.com</t>
  </si>
  <si>
    <t>Ms. Anitha Kumar</t>
  </si>
  <si>
    <t>Mar Athanasius College of Engineering Kothamangalam</t>
  </si>
  <si>
    <t>Prof. Senthil Reddy</t>
  </si>
  <si>
    <t>Ms. Anitha Acharya</t>
  </si>
  <si>
    <t>anitha.acharya@outlook.com</t>
  </si>
  <si>
    <t>www.maratha.edu.in</t>
  </si>
  <si>
    <t>Amrita Vishwa Vidyapeetham Kollam</t>
  </si>
  <si>
    <t>divya.murthy@yahoo.com</t>
  </si>
  <si>
    <t>Mr. Mohan Krishnan</t>
  </si>
  <si>
    <t>mohan.krishnan@gmail.com</t>
  </si>
  <si>
    <t>www.amrivish.edu.in</t>
  </si>
  <si>
    <t>College of Engineering Munnar</t>
  </si>
  <si>
    <t>Manjeri</t>
  </si>
  <si>
    <t>Dr. Sushma Acharya</t>
  </si>
  <si>
    <t>sushma.acharya@outlook.com</t>
  </si>
  <si>
    <t>revathi.varma@outlook.com</t>
  </si>
  <si>
    <t>Sree Chitra Thirunal College of Engineering</t>
  </si>
  <si>
    <t>Wayanad</t>
  </si>
  <si>
    <t>Mr. Vijay Gowda</t>
  </si>
  <si>
    <t>vijay.gowda@outlook.com</t>
  </si>
  <si>
    <t>www.sreechit.edu.in</t>
  </si>
  <si>
    <t>Vidya Academy of Science and Technology Thrissur</t>
  </si>
  <si>
    <t>Prof. Padma Nair</t>
  </si>
  <si>
    <t>Mr. Kavitha Swamy</t>
  </si>
  <si>
    <t>www.vidyacad.edu.in</t>
  </si>
  <si>
    <t>Mar Baselios College of Engineering and Technology</t>
  </si>
  <si>
    <t>Dr. Priya Menon</t>
  </si>
  <si>
    <t>priya.menon@yahoo.com</t>
  </si>
  <si>
    <t>Mr. Ravi Chandran</t>
  </si>
  <si>
    <t>ravi.chandran@outlook.com</t>
  </si>
  <si>
    <t>www.marbase.edu.in</t>
  </si>
  <si>
    <t>St Joseph's College of Engineering and Technology Palai</t>
  </si>
  <si>
    <t>Tirur</t>
  </si>
  <si>
    <t>Prof. Vijay Pillai</t>
  </si>
  <si>
    <t>vijay.pillai@gmail.com</t>
  </si>
  <si>
    <t>Ms. Ravi Patil</t>
  </si>
  <si>
    <t>Government Engineering College Idukki</t>
  </si>
  <si>
    <t>Prof. Geetha Patil</t>
  </si>
  <si>
    <t>geetha.patil@outlook.com</t>
  </si>
  <si>
    <t>LBS Institute of Technology for Women</t>
  </si>
  <si>
    <t>Prof. Sundar Varma</t>
  </si>
  <si>
    <t>sundar.varma@yahoo.com</t>
  </si>
  <si>
    <t>Mr. Sundar Verma</t>
  </si>
  <si>
    <t>sundar.verma@outlook.com</t>
  </si>
  <si>
    <t>www.lbsinst.edu.in</t>
  </si>
  <si>
    <t>Toc H Institute of Science and Technology</t>
  </si>
  <si>
    <t>Dr. Anitha Murthy</t>
  </si>
  <si>
    <t>anitha.murthy@yahoo.com</t>
  </si>
  <si>
    <t>Ms. Kumar Naidu</t>
  </si>
  <si>
    <t>kumar.naidu@outlook.com</t>
  </si>
  <si>
    <t>www.toch.edu.in</t>
  </si>
  <si>
    <t>Saintgits College of Engineering Kottayam</t>
  </si>
  <si>
    <t>ravi.reddy@outlook.com</t>
  </si>
  <si>
    <t>www.saincoll.edu.in</t>
  </si>
  <si>
    <t>Government College of Engineering Kozhikode</t>
  </si>
  <si>
    <t>Prof. Senthil Chandran</t>
  </si>
  <si>
    <t>senthil.chandran@yahoo.com</t>
  </si>
  <si>
    <t>Muthoot Institute of Technology and Science</t>
  </si>
  <si>
    <t>sunitha.iyer@yahoo.com</t>
  </si>
  <si>
    <t>Mr. Karthik Nair</t>
  </si>
  <si>
    <t>karthik.nair@outlook.com</t>
  </si>
  <si>
    <t>www.muthinst.edu.in</t>
  </si>
  <si>
    <t>Federal Institute of Science and Technology</t>
  </si>
  <si>
    <t>Ms. Karthik Sharma</t>
  </si>
  <si>
    <t>www.fedeinst.edu.in</t>
  </si>
  <si>
    <t>Kerala University Thiruvananthapuram</t>
  </si>
  <si>
    <t>Pathanamthitta</t>
  </si>
  <si>
    <t>Dr. Krishna Pillai</t>
  </si>
  <si>
    <t>krishna.pillai@gmail.com</t>
  </si>
  <si>
    <t>Ms. Anitha Naidu</t>
  </si>
  <si>
    <t>www.kerauniv.edu.in</t>
  </si>
  <si>
    <t>University of Calicut</t>
  </si>
  <si>
    <t>Kochi</t>
  </si>
  <si>
    <t>Dr. Mahesh Iyer</t>
  </si>
  <si>
    <t>mahesh.iyer@gmail.com</t>
  </si>
  <si>
    <t>Mr. Bharat Patil</t>
  </si>
  <si>
    <t>Mahatma Gandhi University Kottayam</t>
  </si>
  <si>
    <t>Mr. Prakash Rao</t>
  </si>
  <si>
    <t>Cochin University College of Engineering Kuttanad</t>
  </si>
  <si>
    <t>Kozhikode</t>
  </si>
  <si>
    <t>Prof. Geetha Murthy</t>
  </si>
  <si>
    <t>geetha.murthy@gmail.com</t>
  </si>
  <si>
    <t>Ms. Sanjay Naidu</t>
  </si>
  <si>
    <t>sanjay.naidu@gmail.com</t>
  </si>
  <si>
    <t>Sree Narayana Guru College Chelannur</t>
  </si>
  <si>
    <t>Kottayam</t>
  </si>
  <si>
    <t>Mr. Murthy Pillai</t>
  </si>
  <si>
    <t>murthy.pillai@yahoo.com</t>
  </si>
  <si>
    <t>www.sreenara.edu.in</t>
  </si>
  <si>
    <t>St Berchmans College Changanassery</t>
  </si>
  <si>
    <t>Prof. Vikram Rao</t>
  </si>
  <si>
    <t>vikram.rao@outlook.com</t>
  </si>
  <si>
    <t>Ms. Lakshmi Iyer</t>
  </si>
  <si>
    <t>lakshmi.iyer@yahoo.com</t>
  </si>
  <si>
    <t>www.stberc.edu.in</t>
  </si>
  <si>
    <t>Christ College Irinjalakuda</t>
  </si>
  <si>
    <t>Prof. Sushma Subramaniam</t>
  </si>
  <si>
    <t>sushma.subramaniam@gmail.com</t>
  </si>
  <si>
    <t>www.chricoll.edu.in</t>
  </si>
  <si>
    <t>Government Arts College Thiruvananthapuram</t>
  </si>
  <si>
    <t>Mr. Karthik Swamy</t>
  </si>
  <si>
    <t>karthik.swamy@outlook.com</t>
  </si>
  <si>
    <t>Maharaja's College Ernakulam</t>
  </si>
  <si>
    <t>Perinthalmanna</t>
  </si>
  <si>
    <t>Prof. Kumar Kumar</t>
  </si>
  <si>
    <t>kumar.kumar@gmail.com</t>
  </si>
  <si>
    <t>Mr. Sushma Nair</t>
  </si>
  <si>
    <t>sushma.nair@yahoo.com</t>
  </si>
  <si>
    <t>www.collerna.edu.in</t>
  </si>
  <si>
    <t>Sacred Heart College Thevara</t>
  </si>
  <si>
    <t>Dr. Ravi Swamy</t>
  </si>
  <si>
    <t>ravi.swamy@outlook.com</t>
  </si>
  <si>
    <t>Mr. Sunitha Swamy</t>
  </si>
  <si>
    <t>sunitha.swamy@gmail.com</t>
  </si>
  <si>
    <t>www.sacrhear.edu.in</t>
  </si>
  <si>
    <t>St Thomas College Thrissur</t>
  </si>
  <si>
    <t>vikram.nair@outlook.com</t>
  </si>
  <si>
    <t>www.stthom.edu.in</t>
  </si>
  <si>
    <t>Government Victoria College Palakkad</t>
  </si>
  <si>
    <t>Dr. Senthil Bhat</t>
  </si>
  <si>
    <t>senthil.bhat@gmail.com</t>
  </si>
  <si>
    <t>www.govevict.edu.in</t>
  </si>
  <si>
    <t>University College Thiruvananthapuram</t>
  </si>
  <si>
    <t>Munnar</t>
  </si>
  <si>
    <t>Dr. Lakshmi Murthy</t>
  </si>
  <si>
    <t>lakshmi.murthy@yahoo.com</t>
  </si>
  <si>
    <t>Mr. Bharat Pillai</t>
  </si>
  <si>
    <t>CMS College Kottayam</t>
  </si>
  <si>
    <t>Dr. Ravi Murthy</t>
  </si>
  <si>
    <t>ravi.murthy@yahoo.com</t>
  </si>
  <si>
    <t>Mr. Murthy Varma</t>
  </si>
  <si>
    <t>murthy.varma@outlook.com</t>
  </si>
  <si>
    <t>www.cmscoll.edu.in</t>
  </si>
  <si>
    <t>Newman College Thodupuzha</t>
  </si>
  <si>
    <t>Dr. Ramesh Acharya</t>
  </si>
  <si>
    <t>ramesh.acharya@yahoo.com</t>
  </si>
  <si>
    <t>Ms. Divya Varma</t>
  </si>
  <si>
    <t>divya.varma@outlook.com</t>
  </si>
  <si>
    <t>www.newmcoll.edu.in</t>
  </si>
  <si>
    <t>St Aloysius College Edathua</t>
  </si>
  <si>
    <t>Dr. Ravi Gowda</t>
  </si>
  <si>
    <t>ravi.gowda@yahoo.com</t>
  </si>
  <si>
    <t>Ms. Anitha Patil</t>
  </si>
  <si>
    <t>anitha.patil@outlook.com</t>
  </si>
  <si>
    <t>www.staloy.edu.in</t>
  </si>
  <si>
    <t>Catholicate College Pathanamthitta</t>
  </si>
  <si>
    <t>Prof. Revathi Reddy</t>
  </si>
  <si>
    <t>Ms. Murthy Varma</t>
  </si>
  <si>
    <t>www.cathcoll.edu.in</t>
  </si>
  <si>
    <t>St Aloysius College Edathua - Kollam Campus</t>
  </si>
  <si>
    <t>Dr. Arjun Pillai</t>
  </si>
  <si>
    <t>Mr. Shanti Acharya</t>
  </si>
  <si>
    <t>Government College of Engineering Kozhikode - Kasaragod Campus</t>
  </si>
  <si>
    <t>Dr. Radha Varma</t>
  </si>
  <si>
    <t>radha.varma@gmail.com</t>
  </si>
  <si>
    <t>Mr. Shanti Sharma</t>
  </si>
  <si>
    <t>shanti.sharma@outlook.com</t>
  </si>
  <si>
    <t>College of Engineering Trivandrum - Idukki Campus</t>
  </si>
  <si>
    <t>suresh.kumar@gmail.com</t>
  </si>
  <si>
    <t>CMS College Kottayam - Alappuzha Campus</t>
  </si>
  <si>
    <t>Prof. Sundar Sharma</t>
  </si>
  <si>
    <t>sundar.sharma@gmail.com</t>
  </si>
  <si>
    <t>Ms. Radha Rao</t>
  </si>
  <si>
    <t>radha.rao@yahoo.com</t>
  </si>
  <si>
    <t>St Berchmans College Changanassery - Kozhikode Campus</t>
  </si>
  <si>
    <t>Prof. Meena Varma</t>
  </si>
  <si>
    <t>Mr. Bharat Murthy</t>
  </si>
  <si>
    <t>Amrita Vishwa Vidyapeetham Kollam - Pathanamthitta Campus</t>
  </si>
  <si>
    <t>Alappuzha</t>
  </si>
  <si>
    <t>Dr. Vijay Patil</t>
  </si>
  <si>
    <t>anand.naidu@outlook.com</t>
  </si>
  <si>
    <t>Government Victoria College Palakkad - Ernakulam Campus</t>
  </si>
  <si>
    <t>Mr. Geetha Rao</t>
  </si>
  <si>
    <t>geetha.rao@yahoo.com</t>
  </si>
  <si>
    <t>Newman College Thodupuzha - Palakkad Campus</t>
  </si>
  <si>
    <t>Mr. Lakshmi Bhat</t>
  </si>
  <si>
    <t>lakshmi.bhat@yahoo.com</t>
  </si>
  <si>
    <t>Sacred Heart College Thevara - Pathanamthitta Campus</t>
  </si>
  <si>
    <t>Dr. Sanjay Gowda</t>
  </si>
  <si>
    <t>sanjay.gowda@outlook.com</t>
  </si>
  <si>
    <t>Mr. Vijay Swamy</t>
  </si>
  <si>
    <t>vijay.swamy@gmail.com</t>
  </si>
  <si>
    <t>Government Engineering College Thrissur - Manjeri Campus</t>
  </si>
  <si>
    <t>Prof. Arjun Varma</t>
  </si>
  <si>
    <t>arjun.varma@gmail.com</t>
  </si>
  <si>
    <t>Mr. Revathi Swamy</t>
  </si>
  <si>
    <t>Cochin University College of Engineering Kuttanad - Wayanad Campus</t>
  </si>
  <si>
    <t>Dr. Shanti Rao</t>
  </si>
  <si>
    <t>radha.acharya@yahoo.com</t>
  </si>
  <si>
    <t>Sree Narayana Guru College Chelannur - Kannur Campus</t>
  </si>
  <si>
    <t>Prof. Ramesh Patil</t>
  </si>
  <si>
    <t>ramesh.patil@outlook.com</t>
  </si>
  <si>
    <t>Ms. Lakshmi Rao</t>
  </si>
  <si>
    <t>University College Thiruvananthapuram - Malappuram Campus</t>
  </si>
  <si>
    <t>Prof. Latha Iyer</t>
  </si>
  <si>
    <t>latha.iyer@yahoo.com</t>
  </si>
  <si>
    <t>revathi.chandran@gmail.com</t>
  </si>
  <si>
    <t>Christ College Irinjalakuda - Malappuram Campus</t>
  </si>
  <si>
    <t>Prof. Karthik Naidu</t>
  </si>
  <si>
    <t>karthik.naidu@gmail.com</t>
  </si>
  <si>
    <t>Mr. Latha Menon</t>
  </si>
  <si>
    <t>latha.menon@gmail.com</t>
  </si>
  <si>
    <t>TKM College of Engineering Kollam - Idukki Campus</t>
  </si>
  <si>
    <t>Prof. Shanti Pillai</t>
  </si>
  <si>
    <t>Mr. Ravi Iyer</t>
  </si>
  <si>
    <t>Catholicate College Pathanamthitta - Tirur Campus</t>
  </si>
  <si>
    <t>Prof. Anand Chandran</t>
  </si>
  <si>
    <t>anand.chandran@outlook.com</t>
  </si>
  <si>
    <t>Mr. Sunitha Sharma</t>
  </si>
  <si>
    <t>Government Engineering College Thrissur - Kozhikode Campus</t>
  </si>
  <si>
    <t>Prof. Sushma Varma</t>
  </si>
  <si>
    <t>sushma.varma@gmail.com</t>
  </si>
  <si>
    <t>bharat.naidu@outlook.com</t>
  </si>
  <si>
    <t>Sree Chitra Thirunal College of Engineering - Tirur Campus</t>
  </si>
  <si>
    <t>Prof. Anand Iyer</t>
  </si>
  <si>
    <t>Ms. Sundar Verma</t>
  </si>
  <si>
    <t>sundar.verma@gmail.com</t>
  </si>
  <si>
    <t>Christ College Irinjalakuda - Palakkad Campus</t>
  </si>
  <si>
    <t>Prof. Latha Sharma</t>
  </si>
  <si>
    <t>latha.sharma@outlook.com</t>
  </si>
  <si>
    <t>arjun.chandran@gmail.com</t>
  </si>
  <si>
    <t>Mar Athanasius College of Engineering Kothamangalam - Pathanamthitta Campus</t>
  </si>
  <si>
    <t>Prof. Ganesh Naidu</t>
  </si>
  <si>
    <t>ganesh.naidu@gmail.com</t>
  </si>
  <si>
    <t>prakash.naidu@yahoo.com</t>
  </si>
  <si>
    <t>Rajagiri School of Engineering and Technology - Thiruvananthapuram Campus</t>
  </si>
  <si>
    <t>Mr. Prakash Chandran</t>
  </si>
  <si>
    <t>prakash.chandran@outlook.com</t>
  </si>
  <si>
    <t>College of Engineering Trivandrum - Kochi Campus</t>
  </si>
  <si>
    <t>Dr. Ramesh Sharma</t>
  </si>
  <si>
    <t>Mr. Anand Rao</t>
  </si>
  <si>
    <t>anand.rao@gmail.com</t>
  </si>
  <si>
    <t>Sree Narayana Guru College Chelannur - Changanassery Campus</t>
  </si>
  <si>
    <t>Dr. Senthil Iyer</t>
  </si>
  <si>
    <t>senthil.iyer@gmail.com</t>
  </si>
  <si>
    <t>meena.naidu@gmail.com</t>
  </si>
  <si>
    <t>Mahatma Gandhi University Kottayam - Kannur Campus</t>
  </si>
  <si>
    <t>Mr. Revathi Krishnan</t>
  </si>
  <si>
    <t>revathi.krishnan@gmail.com</t>
  </si>
  <si>
    <t>Mahatma Gandhi University Kottayam - Kollam Campus</t>
  </si>
  <si>
    <t>Prof. Latha Gowda</t>
  </si>
  <si>
    <t>latha.gowda@outlook.com</t>
  </si>
  <si>
    <t>senthil.gowda@outlook.com</t>
  </si>
  <si>
    <t>Government College of Engineering Kannur - Malappuram Campus</t>
  </si>
  <si>
    <t>arjun.reddy@yahoo.com</t>
  </si>
  <si>
    <t>Mr. Suresh Rao</t>
  </si>
  <si>
    <t>Toc H Institute of Science and Technology - Pathanamthitta Campus</t>
  </si>
  <si>
    <t>Prof. Lakshmi Rao</t>
  </si>
  <si>
    <t>lakshmi.rao@gmail.com</t>
  </si>
  <si>
    <t>Mr. Mahesh Rao</t>
  </si>
  <si>
    <t>mahesh.rao@outlook.com</t>
  </si>
  <si>
    <t>Muthoot Institute of Technology and Science - Palakkad Campus</t>
  </si>
  <si>
    <t>Dr. Kumar Reddy</t>
  </si>
  <si>
    <t>kumar.reddy@gmail.com</t>
  </si>
  <si>
    <t>College of Engineering Munnar - Kannur Campus</t>
  </si>
  <si>
    <t>sushma.chandran@gmail.com</t>
  </si>
  <si>
    <t>St Berchmans College Changanassery - Kollam Campus</t>
  </si>
  <si>
    <t>Dr. Krishna Chandran</t>
  </si>
  <si>
    <t>krishna.chandran@yahoo.com</t>
  </si>
  <si>
    <t>Ms. Radha Menon</t>
  </si>
  <si>
    <t>radha.menon@yahoo.com</t>
  </si>
  <si>
    <t>Maharaja's College Ernakulam - Kannur Campus</t>
  </si>
  <si>
    <t>Kollam</t>
  </si>
  <si>
    <t>Ms. Anand Bhat</t>
  </si>
  <si>
    <t>anand.bhat@gmail.com</t>
  </si>
  <si>
    <t>St Berchmans College Changanassery - Kottayam Campus</t>
  </si>
  <si>
    <t>bharat.patil@gmail.com</t>
  </si>
  <si>
    <t>Ms. Karthik Reddy</t>
  </si>
  <si>
    <t>karthik.reddy@yahoo.com</t>
  </si>
  <si>
    <t>Government Engineering College Idukki - Perinthalmanna Campus</t>
  </si>
  <si>
    <t>Mr. Arjun Bhat</t>
  </si>
  <si>
    <t>University College Thiruvananthapuram - Wayanad Campus</t>
  </si>
  <si>
    <t>Prof. Mohan Swamy</t>
  </si>
  <si>
    <t>mohan.swamy@outlook.com</t>
  </si>
  <si>
    <t>Mr. Sushma Menon</t>
  </si>
  <si>
    <t>sushma.menon@gmail.com</t>
  </si>
  <si>
    <t>Cochin University of Science and Technology - Kozhikode Campus</t>
  </si>
  <si>
    <t>Kasaragod</t>
  </si>
  <si>
    <t>Dr. Arjun Patil</t>
  </si>
  <si>
    <t>arjun.patil@gmail.com</t>
  </si>
  <si>
    <t>Mr. Sundar Acharya</t>
  </si>
  <si>
    <t>sundar.acharya@outlook.com</t>
  </si>
  <si>
    <t>Sree Chitra Thirunal College of Engineering - Kannur Campus</t>
  </si>
  <si>
    <t>Dr. Latha Nair</t>
  </si>
  <si>
    <t>latha.nair@yahoo.com</t>
  </si>
  <si>
    <t>Cochin University of Science and Technology - Thiruvananthapuram Campus</t>
  </si>
  <si>
    <t>Dr. Latha Varma</t>
  </si>
  <si>
    <t>latha.varma@outlook.com</t>
  </si>
  <si>
    <t>Ms. Uma Patil</t>
  </si>
  <si>
    <t>uma.patil@yahoo.com</t>
  </si>
  <si>
    <t>Federal Institute of Science and Technology - Pathanamthitta Campus</t>
  </si>
  <si>
    <t>ramesh.acharya@outlook.com</t>
  </si>
  <si>
    <t>Ms. Ravi Kumar</t>
  </si>
  <si>
    <t>ravi.kumar@outlook.com</t>
  </si>
  <si>
    <t>Government Engineering College Idukki - Idukki Campus</t>
  </si>
  <si>
    <t>Prof. Karthik Verma</t>
  </si>
  <si>
    <t>karthik.verma@gmail.com</t>
  </si>
  <si>
    <t>Mr. Meena Acharya</t>
  </si>
  <si>
    <t>meena.acharya@gmail.com</t>
  </si>
  <si>
    <t>St Berchmans College Changanassery - Munnar Campus</t>
  </si>
  <si>
    <t>Dr. Ravi Patil</t>
  </si>
  <si>
    <t>Ms. Radha Naidu</t>
  </si>
  <si>
    <t>radha.naidu@yahoo.com</t>
  </si>
  <si>
    <t>Mar Baselios College of Engineering and Technology - Palakkad Campus</t>
  </si>
  <si>
    <t>Dr. Krishna Patil</t>
  </si>
  <si>
    <t>krishna.patil@outlook.com</t>
  </si>
  <si>
    <t>Mr. Ravi Subramaniam</t>
  </si>
  <si>
    <t>ravi.subramaniam@outlook.com</t>
  </si>
  <si>
    <t>Newman College Thodupuzha - Perinthalmanna Campus</t>
  </si>
  <si>
    <t>Prof. Vijay Nair</t>
  </si>
  <si>
    <t>vijay.nair@gmail.com</t>
  </si>
  <si>
    <t>Ms. Arjun Nair</t>
  </si>
  <si>
    <t>Newman College Thodupuzha - Thiruvananthapuram Campus</t>
  </si>
  <si>
    <t>Dr. Sunitha Varma</t>
  </si>
  <si>
    <t>sunitha.varma@outlook.com</t>
  </si>
  <si>
    <t>prakash.chandran@gmail.com</t>
  </si>
  <si>
    <t>Saintgits College of Engineering Kottayam - Alappuzha Campus</t>
  </si>
  <si>
    <t>meena.menon@outlook.com</t>
  </si>
  <si>
    <t>sundar.swamy@outlook.com</t>
  </si>
  <si>
    <t>Saintgits College of Engineering Kottayam - Wayanad Campus</t>
  </si>
  <si>
    <t>Dr. Uma Chandran</t>
  </si>
  <si>
    <t>uma.chandran@yahoo.com</t>
  </si>
  <si>
    <t>ganesh.kumar@outlook.com</t>
  </si>
  <si>
    <t>Maharaja's College Ernakulam - Idukki Campus</t>
  </si>
  <si>
    <t>prakash.reddy@yahoo.com</t>
  </si>
  <si>
    <t>Mr. Mahesh Menon</t>
  </si>
  <si>
    <t>mahesh.menon@yahoo.com</t>
  </si>
  <si>
    <t>Maharaja's College Ernakulam - Malappuram Campus</t>
  </si>
  <si>
    <t>mohan.chandran@yahoo.com</t>
  </si>
  <si>
    <t>Mr. Ganesh Murthy</t>
  </si>
  <si>
    <t>ganesh.murthy@gmail.com</t>
  </si>
  <si>
    <t>Government College of Engineering Kannur - Changanassery Campus</t>
  </si>
  <si>
    <t>Prof. Uma Menon</t>
  </si>
  <si>
    <t>uma.menon@outlook.com</t>
  </si>
  <si>
    <t>Mahatma Gandhi University Kottayam - Kottayam Campus</t>
  </si>
  <si>
    <t>Dr. Karthik Krishnan</t>
  </si>
  <si>
    <t>karthik.krishnan@outlook.com</t>
  </si>
  <si>
    <t>shanti.swamy@outlook.com</t>
  </si>
  <si>
    <t>Maharaja's College Ernakulam - Kasaragod Campus</t>
  </si>
  <si>
    <t>Dr. Sushma Subramaniam</t>
  </si>
  <si>
    <t>sushma.subramaniam@outlook.com</t>
  </si>
  <si>
    <t>Government College of Engineering Kannur - Palakkad Campus</t>
  </si>
  <si>
    <t>Dr. Ganesh Pillai</t>
  </si>
  <si>
    <t>ganesh.pillai@outlook.com</t>
  </si>
  <si>
    <t>Ms. Suresh Pillai</t>
  </si>
  <si>
    <t>College of Engineering Trivandrum - Alappuzha Campus</t>
  </si>
  <si>
    <t>Prof. Meena Gowda</t>
  </si>
  <si>
    <t>meena.gowda@yahoo.com</t>
  </si>
  <si>
    <t>Mr. Revathi Gowda</t>
  </si>
  <si>
    <t>revathi.gowda@gmail.com</t>
  </si>
  <si>
    <t>Government Engineering College Thrissur - Kannur Campus</t>
  </si>
  <si>
    <t>College of Engineering Munnar - Wayanad Campus</t>
  </si>
  <si>
    <t>Prof. Arjun Verma</t>
  </si>
  <si>
    <t>arjun.verma@outlook.com</t>
  </si>
  <si>
    <t>Mr. Padma Varma</t>
  </si>
  <si>
    <t>padma.varma@gmail.com</t>
  </si>
  <si>
    <t>St Berchmans College Changanassery - Wayanad Campus</t>
  </si>
  <si>
    <t>Prof. Anand Sharma</t>
  </si>
  <si>
    <t>anand.sharma@outlook.com</t>
  </si>
  <si>
    <t>Mr. Kavitha Sharma</t>
  </si>
  <si>
    <t>kavitha.sharma@yahoo.com</t>
  </si>
  <si>
    <t>College of Engineering Trivandrum - Thrissur Campus</t>
  </si>
  <si>
    <t>Prof. Uma Nair</t>
  </si>
  <si>
    <t>Ms. Sanjay Subramaniam</t>
  </si>
  <si>
    <t>sanjay.subramaniam@yahoo.com</t>
  </si>
  <si>
    <t>Mahatma Gandhi University Kottayam - Palakkad Campus</t>
  </si>
  <si>
    <t>Dr. Padma Reddy</t>
  </si>
  <si>
    <t>padma.reddy@outlook.com</t>
  </si>
  <si>
    <t>Mr. Mohan Chandran</t>
  </si>
  <si>
    <t>mohan.chandran@outlook.com</t>
  </si>
  <si>
    <t>Prof. Sunitha Rao</t>
  </si>
  <si>
    <t>Government Engineering College Idukki - Kozhikode Campus</t>
  </si>
  <si>
    <t>shanti.patil@outlook.com</t>
  </si>
  <si>
    <t>revathi.nair@yahoo.com</t>
  </si>
  <si>
    <t>College of Engineering Trivandrum - Kasaragod Campus</t>
  </si>
  <si>
    <t>Dr. Naveen Pillai</t>
  </si>
  <si>
    <t>naveen.pillai@yahoo.com</t>
  </si>
  <si>
    <t>Mr. Padma Verma</t>
  </si>
  <si>
    <t>University of Calicut - Thrissur Campus</t>
  </si>
  <si>
    <t>kumar.kumar@outlook.com</t>
  </si>
  <si>
    <t>Target</t>
  </si>
  <si>
    <t>Actual Count</t>
  </si>
  <si>
    <t>Govt Colleges</t>
  </si>
  <si>
    <t>Private Colleges</t>
  </si>
  <si>
    <t>TOTAL</t>
  </si>
  <si>
    <t>Count</t>
  </si>
  <si>
    <t>Avg_placement</t>
  </si>
  <si>
    <t>Avg_Strength</t>
  </si>
  <si>
    <t>College Database - Pivot Summary</t>
  </si>
  <si>
    <t>Count of Colleges by State</t>
  </si>
  <si>
    <t>Count of Colleges by Tier</t>
  </si>
  <si>
    <t>Avg Placement Stats by NAAC Grade</t>
  </si>
  <si>
    <t>Count of Colleges</t>
  </si>
  <si>
    <t>Avg Placement %</t>
  </si>
  <si>
    <t>Count of Colleges by College Type</t>
  </si>
  <si>
    <t>Avg Student Strength by Tier</t>
  </si>
  <si>
    <t>Govt vs Private</t>
  </si>
  <si>
    <t>Avg Strength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</si>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</sst>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5"/>
      <name val="Arial"/>
      <charset val="1"/>
    </font>
    <font>
      <b/>
      <sz val="1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9" fontId="2" fillId="0" borderId="1" xfId="0" applyNumberFormat="1" applyFont="1" applyBorder="1"/>
    <xf numFmtId="0" fontId="4" fillId="0" borderId="0" xfId="0" applyFont="1"/>
    <xf numFmtId="0" fontId="5" fillId="0" borderId="2" xfId="0" applyFont="1" applyBorder="1"/>
    <xf numFmtId="0" fontId="0" fillId="0" borderId="2" xfId="0" applyBorder="1"/>
    <xf numFmtId="0" fontId="1" fillId="2" borderId="2" xfId="0" applyFont="1" applyFill="1" applyBorder="1"/>
    <xf numFmtId="0" fontId="2" fillId="0" borderId="2" xfId="0" applyFont="1" applyBorder="1"/>
    <xf numFmtId="1" fontId="2" fillId="0" borderId="2" xfId="0" applyNumberFormat="1" applyFont="1" applyBorder="1"/>
    <xf numFmtId="164" fontId="2" fillId="0" borderId="2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20"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D966"/>
        </patternFill>
      </fill>
    </dxf>
    <dxf>
      <fill>
        <patternFill>
          <bgColor rgb="FFFFEB84"/>
        </patternFill>
      </fill>
    </dxf>
    <dxf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FFD966"/>
        </patternFill>
      </fill>
    </dxf>
    <dxf>
      <fill>
        <patternFill>
          <bgColor rgb="FFFFEB84"/>
        </patternFill>
      </fill>
    </dxf>
    <dxf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3B3B3"/>
      <rgbColor rgb="FF4F81BD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84"/>
      <rgbColor rgb="FF99CCFF"/>
      <rgbColor rgb="FFFF9999"/>
      <rgbColor rgb="FFCC99FF"/>
      <rgbColor rgb="FFFFC7CE"/>
      <rgbColor rgb="FF4472C4"/>
      <rgbColor rgb="FF33CCCC"/>
      <rgbColor rgb="FF92D050"/>
      <rgbColor rgb="FFFFC000"/>
      <rgbColor rgb="FFFF9900"/>
      <rgbColor rgb="FFFF6600"/>
      <rgbColor rgb="FF8064A2"/>
      <rgbColor rgb="FFB0B0B0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Colleges by College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Dashboard!$B$14</c:f>
              <c:strCache>
                <c:ptCount val="1"/>
                <c:pt idx="0">
                  <c:v>104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D1E-4164-B828-ABE9416FD7E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D1E-4164-B828-ABE9416FD7E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D1E-4164-B828-ABE9416FD7E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D1E-4164-B828-ABE9416FD7E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1E-4164-B828-ABE9416FD7E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1E-4164-B828-ABE9416FD7E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1E-4164-B828-ABE9416FD7E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1E-4164-B828-ABE9416FD7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Dashboard!$A$15:$A$18</c:f>
              <c:strCache>
                <c:ptCount val="4"/>
                <c:pt idx="0">
                  <c:v>University</c:v>
                </c:pt>
                <c:pt idx="1">
                  <c:v>Autonomous Institution</c:v>
                </c:pt>
                <c:pt idx="2">
                  <c:v>Deemed University</c:v>
                </c:pt>
                <c:pt idx="3">
                  <c:v>Affiliated College</c:v>
                </c:pt>
              </c:strCache>
            </c:strRef>
          </c:cat>
          <c:val>
            <c:numRef>
              <c:f>Dashboard!$B$15:$B$18</c:f>
              <c:numCache>
                <c:formatCode>0</c:formatCode>
                <c:ptCount val="4"/>
                <c:pt idx="0">
                  <c:v>102</c:v>
                </c:pt>
                <c:pt idx="1">
                  <c:v>90</c:v>
                </c:pt>
                <c:pt idx="2">
                  <c:v>89</c:v>
                </c:pt>
                <c:pt idx="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1E-4164-B828-ABE9416FD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Student Strength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Dashboard!$E$14</c:f>
              <c:strCache>
                <c:ptCount val="1"/>
                <c:pt idx="0">
                  <c:v>6288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Dashboard!$D$15:$D$16</c:f>
              <c:strCache>
                <c:ptCount val="2"/>
                <c:pt idx="0">
                  <c:v>Tier 2</c:v>
                </c:pt>
                <c:pt idx="1">
                  <c:v>Tier 3</c:v>
                </c:pt>
              </c:strCache>
            </c:strRef>
          </c:cat>
          <c:val>
            <c:numRef>
              <c:f>Dashboard!$E$15:$E$16</c:f>
              <c:numCache>
                <c:formatCode>0</c:formatCode>
                <c:ptCount val="2"/>
                <c:pt idx="0">
                  <c:v>6249.3178807947024</c:v>
                </c:pt>
                <c:pt idx="1">
                  <c:v>6411.0505617977524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C-48C6-B558-2D5457964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69114"/>
        <c:axId val="36415910"/>
      </c:barChart>
      <c:catAx>
        <c:axId val="251691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415910"/>
        <c:crosses val="autoZero"/>
        <c:auto val="1"/>
        <c:lblAlgn val="ctr"/>
        <c:lblOffset val="100"/>
        <c:noMultiLvlLbl val="0"/>
      </c:catAx>
      <c:valAx>
        <c:axId val="364159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69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Government vs Private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Dashboard!$H$14</c:f>
              <c:strCache>
                <c:ptCount val="1"/>
                <c:pt idx="0">
                  <c:v>129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E33-4E93-9ED4-2AC668EE826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33-4E93-9ED4-2AC668EE82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Dashboard!$G$15</c:f>
              <c:strCache>
                <c:ptCount val="1"/>
                <c:pt idx="0">
                  <c:v>Private</c:v>
                </c:pt>
              </c:strCache>
            </c:strRef>
          </c:cat>
          <c:val>
            <c:numRef>
              <c:f>Dashboard!$H$15</c:f>
              <c:numCache>
                <c:formatCode>0</c:formatCode>
                <c:ptCount val="1"/>
                <c:pt idx="0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3-4E93-9ED4-2AC668EE8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Colleges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Dashboard!$A$6:$A$9</c:f>
              <c:strCache>
                <c:ptCount val="4"/>
                <c:pt idx="0">
                  <c:v>Karnataka</c:v>
                </c:pt>
                <c:pt idx="1">
                  <c:v>Andhra Pradesh</c:v>
                </c:pt>
                <c:pt idx="2">
                  <c:v>Telangana</c:v>
                </c:pt>
                <c:pt idx="3">
                  <c:v>Kerala</c:v>
                </c:pt>
              </c:strCache>
            </c:strRef>
          </c:cat>
          <c:val>
            <c:numRef>
              <c:f>Dashboard!$B$6:$B$9</c:f>
              <c:numCache>
                <c:formatCode>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F-4A76-B2AF-BA3FAFA6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73273"/>
        <c:axId val="33106389"/>
      </c:barChart>
      <c:catAx>
        <c:axId val="142732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106389"/>
        <c:crosses val="autoZero"/>
        <c:auto val="1"/>
        <c:lblAlgn val="ctr"/>
        <c:lblOffset val="100"/>
        <c:noMultiLvlLbl val="0"/>
      </c:catAx>
      <c:valAx>
        <c:axId val="331063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73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C000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Colleges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Dashboard!$E$5</c:f>
              <c:strCache>
                <c:ptCount val="1"/>
                <c:pt idx="0">
                  <c:v>171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E1F-4B7F-AABD-DB0CAA65C57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FE1F-4B7F-AABD-DB0CAA65C57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1F-4B7F-AABD-DB0CAA65C57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1F-4B7F-AABD-DB0CAA65C5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Dashboard!$D$6:$D$7</c:f>
              <c:strCache>
                <c:ptCount val="2"/>
                <c:pt idx="0">
                  <c:v>Tier 2</c:v>
                </c:pt>
                <c:pt idx="1">
                  <c:v>Tier 3</c:v>
                </c:pt>
              </c:strCache>
            </c:strRef>
          </c:cat>
          <c:val>
            <c:numRef>
              <c:f>Dashboard!$E$6:$E$7</c:f>
              <c:numCache>
                <c:formatCode>0</c:formatCode>
                <c:ptCount val="2"/>
                <c:pt idx="0">
                  <c:v>151</c:v>
                </c:pt>
                <c:pt idx="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1F-4B7F-AABD-DB0CAA65C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40000"/>
        <a:lumOff val="60000"/>
      </a:schemeClr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Placement % by NAAC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Dashboard!$G$6:$G$11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B++</c:v>
                </c:pt>
                <c:pt idx="3">
                  <c:v>B+</c:v>
                </c:pt>
                <c:pt idx="4">
                  <c:v>B</c:v>
                </c:pt>
                <c:pt idx="5">
                  <c:v>C</c:v>
                </c:pt>
              </c:strCache>
            </c:strRef>
          </c:cat>
          <c:val>
            <c:numRef>
              <c:f>Dashboard!$H$6:$H$11</c:f>
              <c:numCache>
                <c:formatCode>0.0%</c:formatCode>
                <c:ptCount val="6"/>
                <c:pt idx="0">
                  <c:v>0.77321428571428563</c:v>
                </c:pt>
                <c:pt idx="1">
                  <c:v>0.76140624999999984</c:v>
                </c:pt>
                <c:pt idx="2">
                  <c:v>0.77053333333333318</c:v>
                </c:pt>
                <c:pt idx="3">
                  <c:v>0.75813333333333333</c:v>
                </c:pt>
                <c:pt idx="4">
                  <c:v>0.77924050632911424</c:v>
                </c:pt>
                <c:pt idx="5">
                  <c:v>0.77775000000000005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2-4F45-B694-29D9C45C1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9966"/>
        <c:axId val="70657149"/>
      </c:barChart>
      <c:catAx>
        <c:axId val="15279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657149"/>
        <c:crosses val="autoZero"/>
        <c:auto val="1"/>
        <c:lblAlgn val="ctr"/>
        <c:lblOffset val="100"/>
        <c:noMultiLvlLbl val="0"/>
      </c:catAx>
      <c:valAx>
        <c:axId val="706571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79966"/>
        <c:crosses val="autoZero"/>
        <c:crossBetween val="between"/>
      </c:valAx>
      <c:spPr>
        <a:solidFill>
          <a:schemeClr val="bg1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6">
        <a:alpha val="83000"/>
      </a:schemeClr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116280</xdr:rowOff>
    </xdr:from>
    <xdr:to>
      <xdr:col>3</xdr:col>
      <xdr:colOff>1092660</xdr:colOff>
      <xdr:row>53</xdr:row>
      <xdr:rowOff>138600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38</xdr:row>
      <xdr:rowOff>116280</xdr:rowOff>
    </xdr:from>
    <xdr:to>
      <xdr:col>6</xdr:col>
      <xdr:colOff>1345905</xdr:colOff>
      <xdr:row>53</xdr:row>
      <xdr:rowOff>138600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38</xdr:row>
      <xdr:rowOff>116280</xdr:rowOff>
    </xdr:from>
    <xdr:to>
      <xdr:col>11</xdr:col>
      <xdr:colOff>275445</xdr:colOff>
      <xdr:row>53</xdr:row>
      <xdr:rowOff>138600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6</xdr:col>
      <xdr:colOff>502110</xdr:colOff>
      <xdr:row>15</xdr:row>
      <xdr:rowOff>60420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58D17-C2F8-46DE-8E20-176D323A3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583273</xdr:colOff>
      <xdr:row>0</xdr:row>
      <xdr:rowOff>0</xdr:rowOff>
    </xdr:from>
    <xdr:to>
      <xdr:col>13</xdr:col>
      <xdr:colOff>414703</xdr:colOff>
      <xdr:row>15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EF305F-D0A2-4DE2-8CA7-3962BAC85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546135</xdr:colOff>
      <xdr:row>0</xdr:row>
      <xdr:rowOff>21404</xdr:rowOff>
    </xdr:from>
    <xdr:to>
      <xdr:col>20</xdr:col>
      <xdr:colOff>392955</xdr:colOff>
      <xdr:row>15</xdr:row>
      <xdr:rowOff>43724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0C8401-7AFD-4D1C-A006-76018F1A8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opLeftCell="D1" zoomScaleNormal="100" workbookViewId="0">
      <pane ySplit="1" topLeftCell="A2" activePane="bottomLeft" state="frozen"/>
      <selection pane="bottomLeft" activeCell="M8" sqref="M8"/>
    </sheetView>
  </sheetViews>
  <sheetFormatPr defaultColWidth="8.7109375" defaultRowHeight="15" x14ac:dyDescent="0.25"/>
  <cols>
    <col min="1" max="1" width="6" customWidth="1"/>
    <col min="2" max="2" width="40" customWidth="1"/>
    <col min="3" max="3" width="16" customWidth="1"/>
    <col min="4" max="4" width="18" customWidth="1"/>
    <col min="5" max="5" width="8" customWidth="1"/>
    <col min="6" max="6" width="18" customWidth="1"/>
    <col min="7" max="7" width="24.5703125" customWidth="1"/>
    <col min="8" max="8" width="22" customWidth="1"/>
    <col min="9" max="9" width="16" customWidth="1"/>
    <col min="10" max="10" width="28" customWidth="1"/>
    <col min="11" max="11" width="22.42578125" customWidth="1"/>
    <col min="12" max="12" width="21.7109375" customWidth="1"/>
    <col min="13" max="13" width="28" customWidth="1"/>
    <col min="14" max="14" width="34" customWidth="1"/>
    <col min="15" max="15" width="12" customWidth="1"/>
    <col min="16" max="17" width="10" customWidth="1"/>
    <col min="18" max="18" width="24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6702632297</v>
      </c>
      <c r="J2" s="2" t="s">
        <v>25</v>
      </c>
      <c r="K2" s="2" t="s">
        <v>26</v>
      </c>
      <c r="L2" s="2">
        <v>7868820204</v>
      </c>
      <c r="M2" s="2" t="s">
        <v>27</v>
      </c>
      <c r="N2" s="2" t="s">
        <v>28</v>
      </c>
      <c r="O2" s="2">
        <v>2786</v>
      </c>
      <c r="P2" s="2" t="s">
        <v>29</v>
      </c>
      <c r="Q2" s="3">
        <v>0.59</v>
      </c>
      <c r="R2" s="2" t="s">
        <v>30</v>
      </c>
    </row>
    <row r="3" spans="1:18" ht="15" customHeight="1" x14ac:dyDescent="0.25">
      <c r="A3" s="2">
        <v>2</v>
      </c>
      <c r="B3" s="2" t="s">
        <v>31</v>
      </c>
      <c r="C3" s="2" t="s">
        <v>19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>
        <v>9203848421</v>
      </c>
      <c r="J3" s="2" t="s">
        <v>37</v>
      </c>
      <c r="K3" s="2" t="s">
        <v>38</v>
      </c>
      <c r="L3" s="2">
        <v>8469319644</v>
      </c>
      <c r="M3" s="2" t="s">
        <v>39</v>
      </c>
      <c r="N3" s="2" t="s">
        <v>40</v>
      </c>
      <c r="O3" s="2">
        <v>606</v>
      </c>
      <c r="P3" s="2" t="s">
        <v>41</v>
      </c>
      <c r="Q3" s="3">
        <v>0.9</v>
      </c>
      <c r="R3" s="2" t="s">
        <v>42</v>
      </c>
    </row>
    <row r="4" spans="1:18" ht="15" customHeight="1" x14ac:dyDescent="0.25">
      <c r="A4" s="2">
        <v>3</v>
      </c>
      <c r="B4" s="2" t="s">
        <v>43</v>
      </c>
      <c r="C4" s="2" t="s">
        <v>19</v>
      </c>
      <c r="D4" s="2" t="s">
        <v>44</v>
      </c>
      <c r="E4" s="2" t="s">
        <v>33</v>
      </c>
      <c r="F4" s="2" t="s">
        <v>22</v>
      </c>
      <c r="G4" s="2" t="s">
        <v>45</v>
      </c>
      <c r="H4" s="2" t="s">
        <v>46</v>
      </c>
      <c r="I4" s="2">
        <v>7208449460</v>
      </c>
      <c r="J4" s="2" t="s">
        <v>47</v>
      </c>
      <c r="K4" s="2" t="s">
        <v>48</v>
      </c>
      <c r="L4" s="2">
        <v>9398471886</v>
      </c>
      <c r="M4" s="2" t="s">
        <v>49</v>
      </c>
      <c r="N4" s="2" t="s">
        <v>50</v>
      </c>
      <c r="O4" s="2">
        <v>6701</v>
      </c>
      <c r="P4" s="2" t="s">
        <v>51</v>
      </c>
      <c r="Q4" s="3">
        <v>0.79</v>
      </c>
      <c r="R4" s="2" t="s">
        <v>52</v>
      </c>
    </row>
    <row r="5" spans="1:18" ht="15" customHeight="1" x14ac:dyDescent="0.25">
      <c r="A5" s="2">
        <v>4</v>
      </c>
      <c r="B5" s="2" t="s">
        <v>53</v>
      </c>
      <c r="C5" s="2" t="s">
        <v>19</v>
      </c>
      <c r="D5" s="2" t="s">
        <v>54</v>
      </c>
      <c r="E5" s="2" t="s">
        <v>55</v>
      </c>
      <c r="F5" s="2" t="s">
        <v>22</v>
      </c>
      <c r="G5" s="2" t="s">
        <v>23</v>
      </c>
      <c r="H5" s="2" t="s">
        <v>56</v>
      </c>
      <c r="I5" s="2">
        <v>8787194506</v>
      </c>
      <c r="J5" s="2" t="s">
        <v>57</v>
      </c>
      <c r="K5" s="2" t="s">
        <v>58</v>
      </c>
      <c r="L5" s="2">
        <v>7835098955</v>
      </c>
      <c r="M5" s="2" t="s">
        <v>59</v>
      </c>
      <c r="N5" s="2" t="s">
        <v>60</v>
      </c>
      <c r="O5" s="2">
        <v>6320</v>
      </c>
      <c r="P5" s="2" t="s">
        <v>61</v>
      </c>
      <c r="Q5" s="3">
        <v>0.84</v>
      </c>
      <c r="R5" s="2" t="s">
        <v>62</v>
      </c>
    </row>
    <row r="6" spans="1:18" ht="15" customHeight="1" x14ac:dyDescent="0.25">
      <c r="A6" s="2">
        <v>5</v>
      </c>
      <c r="B6" s="2" t="s">
        <v>63</v>
      </c>
      <c r="C6" s="2" t="s">
        <v>19</v>
      </c>
      <c r="D6" s="2" t="s">
        <v>64</v>
      </c>
      <c r="E6" s="2" t="s">
        <v>21</v>
      </c>
      <c r="F6" s="2" t="s">
        <v>22</v>
      </c>
      <c r="G6" s="2" t="s">
        <v>23</v>
      </c>
      <c r="H6" s="2" t="s">
        <v>65</v>
      </c>
      <c r="I6" s="2">
        <v>8328306011</v>
      </c>
      <c r="J6" s="2" t="s">
        <v>66</v>
      </c>
      <c r="K6" s="2" t="s">
        <v>67</v>
      </c>
      <c r="L6" s="2">
        <v>9524806516</v>
      </c>
      <c r="M6" s="2" t="s">
        <v>68</v>
      </c>
      <c r="N6" s="2" t="s">
        <v>69</v>
      </c>
      <c r="O6" s="2">
        <v>7072</v>
      </c>
      <c r="P6" s="2" t="s">
        <v>70</v>
      </c>
      <c r="Q6" s="3">
        <v>0.57999999999999996</v>
      </c>
      <c r="R6" s="2" t="s">
        <v>71</v>
      </c>
    </row>
    <row r="7" spans="1:18" ht="15" customHeight="1" x14ac:dyDescent="0.25">
      <c r="A7" s="2">
        <v>6</v>
      </c>
      <c r="B7" s="2" t="s">
        <v>72</v>
      </c>
      <c r="C7" s="2" t="s">
        <v>19</v>
      </c>
      <c r="D7" s="2" t="s">
        <v>54</v>
      </c>
      <c r="E7" s="2" t="s">
        <v>21</v>
      </c>
      <c r="F7" s="2" t="s">
        <v>22</v>
      </c>
      <c r="G7" s="2" t="s">
        <v>23</v>
      </c>
      <c r="H7" s="2" t="s">
        <v>73</v>
      </c>
      <c r="I7" s="2">
        <v>6264112119</v>
      </c>
      <c r="J7" s="2" t="s">
        <v>74</v>
      </c>
      <c r="K7" s="2" t="s">
        <v>75</v>
      </c>
      <c r="L7" s="2">
        <v>7950488739</v>
      </c>
      <c r="M7" s="2" t="s">
        <v>76</v>
      </c>
      <c r="N7" s="2" t="s">
        <v>40</v>
      </c>
      <c r="O7" s="2">
        <v>10077</v>
      </c>
      <c r="P7" s="2" t="s">
        <v>77</v>
      </c>
      <c r="Q7" s="3">
        <v>0.94</v>
      </c>
      <c r="R7" s="2" t="s">
        <v>78</v>
      </c>
    </row>
    <row r="8" spans="1:18" ht="15" customHeight="1" x14ac:dyDescent="0.25">
      <c r="A8" s="2">
        <v>7</v>
      </c>
      <c r="B8" s="2" t="s">
        <v>79</v>
      </c>
      <c r="C8" s="2" t="s">
        <v>19</v>
      </c>
      <c r="D8" s="2" t="s">
        <v>80</v>
      </c>
      <c r="E8" s="2" t="s">
        <v>55</v>
      </c>
      <c r="F8" s="2" t="s">
        <v>34</v>
      </c>
      <c r="G8" s="2" t="s">
        <v>45</v>
      </c>
      <c r="H8" s="2" t="s">
        <v>81</v>
      </c>
      <c r="I8" s="2">
        <v>9269820594</v>
      </c>
      <c r="J8" s="2" t="s">
        <v>82</v>
      </c>
      <c r="K8" s="2" t="s">
        <v>38</v>
      </c>
      <c r="L8" s="2">
        <v>9103484630</v>
      </c>
      <c r="M8" s="2" t="s">
        <v>83</v>
      </c>
      <c r="N8" s="2" t="s">
        <v>84</v>
      </c>
      <c r="O8" s="2">
        <v>9169</v>
      </c>
      <c r="P8" s="2" t="s">
        <v>70</v>
      </c>
      <c r="Q8" s="3">
        <v>0.97</v>
      </c>
      <c r="R8" s="2" t="s">
        <v>85</v>
      </c>
    </row>
    <row r="9" spans="1:18" ht="15" customHeight="1" x14ac:dyDescent="0.25">
      <c r="A9" s="2">
        <v>8</v>
      </c>
      <c r="B9" s="2" t="s">
        <v>86</v>
      </c>
      <c r="C9" s="2" t="s">
        <v>19</v>
      </c>
      <c r="D9" s="2" t="s">
        <v>87</v>
      </c>
      <c r="E9" s="2" t="s">
        <v>55</v>
      </c>
      <c r="F9" s="2" t="s">
        <v>22</v>
      </c>
      <c r="G9" s="2" t="s">
        <v>35</v>
      </c>
      <c r="H9" s="2" t="s">
        <v>88</v>
      </c>
      <c r="I9" s="2">
        <v>8624636385</v>
      </c>
      <c r="J9" s="2" t="s">
        <v>89</v>
      </c>
      <c r="K9" s="2" t="s">
        <v>90</v>
      </c>
      <c r="L9" s="2">
        <v>6220117054</v>
      </c>
      <c r="M9" s="2" t="s">
        <v>91</v>
      </c>
      <c r="N9" s="2" t="s">
        <v>50</v>
      </c>
      <c r="O9" s="2">
        <v>10744</v>
      </c>
      <c r="P9" s="2" t="s">
        <v>70</v>
      </c>
      <c r="Q9" s="3">
        <v>0.91</v>
      </c>
      <c r="R9" s="2" t="s">
        <v>92</v>
      </c>
    </row>
    <row r="10" spans="1:18" ht="15" customHeight="1" x14ac:dyDescent="0.25">
      <c r="A10" s="2">
        <v>9</v>
      </c>
      <c r="B10" s="2" t="s">
        <v>93</v>
      </c>
      <c r="C10" s="2" t="s">
        <v>19</v>
      </c>
      <c r="D10" s="2" t="s">
        <v>94</v>
      </c>
      <c r="E10" s="2" t="s">
        <v>33</v>
      </c>
      <c r="F10" s="2" t="s">
        <v>34</v>
      </c>
      <c r="G10" s="2" t="s">
        <v>23</v>
      </c>
      <c r="H10" s="2" t="s">
        <v>95</v>
      </c>
      <c r="I10" s="2">
        <v>8666585408</v>
      </c>
      <c r="J10" s="2" t="s">
        <v>96</v>
      </c>
      <c r="K10" s="2" t="s">
        <v>97</v>
      </c>
      <c r="L10" s="2">
        <v>9327416584</v>
      </c>
      <c r="M10" s="2" t="s">
        <v>98</v>
      </c>
      <c r="N10" s="2" t="s">
        <v>99</v>
      </c>
      <c r="O10" s="2">
        <v>1903</v>
      </c>
      <c r="P10" s="2" t="s">
        <v>29</v>
      </c>
      <c r="Q10" s="3">
        <v>0.76</v>
      </c>
      <c r="R10" s="2" t="s">
        <v>100</v>
      </c>
    </row>
    <row r="11" spans="1:18" ht="15" customHeight="1" x14ac:dyDescent="0.25">
      <c r="A11" s="2">
        <v>10</v>
      </c>
      <c r="B11" s="2" t="s">
        <v>101</v>
      </c>
      <c r="C11" s="2" t="s">
        <v>19</v>
      </c>
      <c r="D11" s="2" t="s">
        <v>32</v>
      </c>
      <c r="E11" s="2" t="s">
        <v>55</v>
      </c>
      <c r="F11" s="2" t="s">
        <v>22</v>
      </c>
      <c r="G11" s="2" t="s">
        <v>102</v>
      </c>
      <c r="H11" s="2" t="s">
        <v>103</v>
      </c>
      <c r="I11" s="2">
        <v>7731832764</v>
      </c>
      <c r="J11" s="2" t="s">
        <v>104</v>
      </c>
      <c r="K11" s="2" t="s">
        <v>105</v>
      </c>
      <c r="L11" s="2">
        <v>7107721109</v>
      </c>
      <c r="M11" s="2" t="s">
        <v>106</v>
      </c>
      <c r="N11" s="2" t="s">
        <v>107</v>
      </c>
      <c r="O11" s="2">
        <v>11504</v>
      </c>
      <c r="P11" s="2" t="s">
        <v>29</v>
      </c>
      <c r="Q11" s="3">
        <v>0.71</v>
      </c>
      <c r="R11" s="2" t="s">
        <v>108</v>
      </c>
    </row>
    <row r="12" spans="1:18" ht="15" customHeight="1" x14ac:dyDescent="0.25">
      <c r="A12" s="2">
        <v>11</v>
      </c>
      <c r="B12" s="2" t="s">
        <v>109</v>
      </c>
      <c r="C12" s="2" t="s">
        <v>19</v>
      </c>
      <c r="D12" s="2" t="s">
        <v>110</v>
      </c>
      <c r="E12" s="2" t="s">
        <v>55</v>
      </c>
      <c r="F12" s="2" t="s">
        <v>22</v>
      </c>
      <c r="G12" s="2" t="s">
        <v>23</v>
      </c>
      <c r="H12" s="2" t="s">
        <v>111</v>
      </c>
      <c r="I12" s="2">
        <v>9360916298</v>
      </c>
      <c r="J12" s="2" t="s">
        <v>112</v>
      </c>
      <c r="K12" s="2" t="s">
        <v>113</v>
      </c>
      <c r="L12" s="2">
        <v>9967043303</v>
      </c>
      <c r="M12" s="2" t="s">
        <v>114</v>
      </c>
      <c r="N12" s="2" t="s">
        <v>99</v>
      </c>
      <c r="O12" s="2">
        <v>1014</v>
      </c>
      <c r="P12" s="2" t="s">
        <v>41</v>
      </c>
      <c r="Q12" s="3">
        <v>0.69</v>
      </c>
      <c r="R12" s="2" t="s">
        <v>115</v>
      </c>
    </row>
    <row r="13" spans="1:18" ht="15" customHeight="1" x14ac:dyDescent="0.25">
      <c r="A13" s="2">
        <v>12</v>
      </c>
      <c r="B13" s="2" t="s">
        <v>116</v>
      </c>
      <c r="C13" s="2" t="s">
        <v>19</v>
      </c>
      <c r="D13" s="2" t="s">
        <v>80</v>
      </c>
      <c r="E13" s="2" t="s">
        <v>21</v>
      </c>
      <c r="F13" s="2" t="s">
        <v>34</v>
      </c>
      <c r="G13" s="2" t="s">
        <v>45</v>
      </c>
      <c r="H13" s="2" t="s">
        <v>117</v>
      </c>
      <c r="I13" s="2">
        <v>7304235259</v>
      </c>
      <c r="J13" s="2" t="s">
        <v>118</v>
      </c>
      <c r="K13" s="2" t="s">
        <v>38</v>
      </c>
      <c r="L13" s="2">
        <v>9250519597</v>
      </c>
      <c r="M13" s="2" t="s">
        <v>39</v>
      </c>
      <c r="N13" s="2" t="s">
        <v>60</v>
      </c>
      <c r="O13" s="2">
        <v>7439</v>
      </c>
      <c r="P13" s="2" t="s">
        <v>77</v>
      </c>
      <c r="Q13" s="3">
        <v>0.75</v>
      </c>
      <c r="R13" s="2" t="s">
        <v>119</v>
      </c>
    </row>
    <row r="14" spans="1:18" ht="15" customHeight="1" x14ac:dyDescent="0.25">
      <c r="A14" s="2">
        <v>13</v>
      </c>
      <c r="B14" s="2" t="s">
        <v>120</v>
      </c>
      <c r="C14" s="2" t="s">
        <v>19</v>
      </c>
      <c r="D14" s="2" t="s">
        <v>80</v>
      </c>
      <c r="E14" s="2" t="s">
        <v>21</v>
      </c>
      <c r="F14" s="2" t="s">
        <v>22</v>
      </c>
      <c r="G14" s="2" t="s">
        <v>23</v>
      </c>
      <c r="H14" s="2" t="s">
        <v>121</v>
      </c>
      <c r="I14" s="2">
        <v>9616854671</v>
      </c>
      <c r="J14" s="2" t="s">
        <v>122</v>
      </c>
      <c r="K14" s="2" t="s">
        <v>123</v>
      </c>
      <c r="L14" s="2">
        <v>7530613729</v>
      </c>
      <c r="M14" s="2" t="s">
        <v>124</v>
      </c>
      <c r="N14" s="2" t="s">
        <v>99</v>
      </c>
      <c r="O14" s="2">
        <v>7760</v>
      </c>
      <c r="P14" s="2" t="s">
        <v>41</v>
      </c>
      <c r="Q14" s="3">
        <v>0.92</v>
      </c>
      <c r="R14" s="2" t="s">
        <v>125</v>
      </c>
    </row>
    <row r="15" spans="1:18" ht="15" customHeight="1" x14ac:dyDescent="0.25">
      <c r="A15" s="2">
        <v>14</v>
      </c>
      <c r="B15" s="2" t="s">
        <v>126</v>
      </c>
      <c r="C15" s="2" t="s">
        <v>19</v>
      </c>
      <c r="D15" s="2" t="s">
        <v>127</v>
      </c>
      <c r="E15" s="2" t="s">
        <v>21</v>
      </c>
      <c r="F15" s="2" t="s">
        <v>22</v>
      </c>
      <c r="G15" s="2" t="s">
        <v>45</v>
      </c>
      <c r="H15" s="2" t="s">
        <v>128</v>
      </c>
      <c r="I15" s="2">
        <v>6903132646</v>
      </c>
      <c r="J15" s="2" t="s">
        <v>129</v>
      </c>
      <c r="K15" s="2" t="s">
        <v>130</v>
      </c>
      <c r="L15" s="2">
        <v>8161380746</v>
      </c>
      <c r="M15" s="2" t="s">
        <v>131</v>
      </c>
      <c r="N15" s="2" t="s">
        <v>40</v>
      </c>
      <c r="O15" s="2">
        <v>7954</v>
      </c>
      <c r="P15" s="2" t="s">
        <v>70</v>
      </c>
      <c r="Q15" s="3">
        <v>0.73</v>
      </c>
      <c r="R15" s="2" t="s">
        <v>132</v>
      </c>
    </row>
    <row r="16" spans="1:18" ht="15" customHeight="1" x14ac:dyDescent="0.25">
      <c r="A16" s="2">
        <v>15</v>
      </c>
      <c r="B16" s="2" t="s">
        <v>133</v>
      </c>
      <c r="C16" s="2" t="s">
        <v>19</v>
      </c>
      <c r="D16" s="2" t="s">
        <v>127</v>
      </c>
      <c r="E16" s="2" t="s">
        <v>55</v>
      </c>
      <c r="F16" s="2" t="s">
        <v>22</v>
      </c>
      <c r="G16" s="2" t="s">
        <v>35</v>
      </c>
      <c r="H16" s="2" t="s">
        <v>134</v>
      </c>
      <c r="I16" s="2">
        <v>7721609600</v>
      </c>
      <c r="J16" s="2" t="s">
        <v>135</v>
      </c>
      <c r="K16" s="2" t="s">
        <v>136</v>
      </c>
      <c r="L16" s="2">
        <v>6765055833</v>
      </c>
      <c r="M16" s="2" t="s">
        <v>137</v>
      </c>
      <c r="N16" s="2" t="s">
        <v>138</v>
      </c>
      <c r="O16" s="2">
        <v>1431</v>
      </c>
      <c r="P16" s="2" t="s">
        <v>139</v>
      </c>
      <c r="Q16" s="3">
        <v>0.57999999999999996</v>
      </c>
      <c r="R16" s="2" t="s">
        <v>140</v>
      </c>
    </row>
    <row r="17" spans="1:18" ht="15" customHeight="1" x14ac:dyDescent="0.25">
      <c r="A17" s="2">
        <v>16</v>
      </c>
      <c r="B17" s="2" t="s">
        <v>141</v>
      </c>
      <c r="C17" s="2" t="s">
        <v>19</v>
      </c>
      <c r="D17" s="2" t="s">
        <v>110</v>
      </c>
      <c r="E17" s="2" t="s">
        <v>33</v>
      </c>
      <c r="F17" s="2" t="s">
        <v>22</v>
      </c>
      <c r="G17" s="2" t="s">
        <v>35</v>
      </c>
      <c r="H17" s="2" t="s">
        <v>142</v>
      </c>
      <c r="I17" s="2">
        <v>6110002396</v>
      </c>
      <c r="J17" s="2" t="s">
        <v>143</v>
      </c>
      <c r="K17" s="2" t="s">
        <v>144</v>
      </c>
      <c r="L17" s="2">
        <v>9766964667</v>
      </c>
      <c r="M17" s="2" t="s">
        <v>145</v>
      </c>
      <c r="N17" s="2" t="s">
        <v>146</v>
      </c>
      <c r="O17" s="2">
        <v>4772</v>
      </c>
      <c r="P17" s="2" t="s">
        <v>61</v>
      </c>
      <c r="Q17" s="3">
        <v>0.84</v>
      </c>
      <c r="R17" s="2" t="s">
        <v>147</v>
      </c>
    </row>
    <row r="18" spans="1:18" ht="15" customHeight="1" x14ac:dyDescent="0.25">
      <c r="A18" s="2">
        <v>17</v>
      </c>
      <c r="B18" s="2" t="s">
        <v>148</v>
      </c>
      <c r="C18" s="2" t="s">
        <v>19</v>
      </c>
      <c r="D18" s="2" t="s">
        <v>149</v>
      </c>
      <c r="E18" s="2" t="s">
        <v>21</v>
      </c>
      <c r="F18" s="2" t="s">
        <v>34</v>
      </c>
      <c r="G18" s="2" t="s">
        <v>23</v>
      </c>
      <c r="H18" s="2" t="s">
        <v>150</v>
      </c>
      <c r="I18" s="2">
        <v>6817112652</v>
      </c>
      <c r="J18" s="2" t="s">
        <v>151</v>
      </c>
      <c r="K18" s="2" t="s">
        <v>152</v>
      </c>
      <c r="L18" s="2">
        <v>8812308209</v>
      </c>
      <c r="M18" s="2" t="s">
        <v>153</v>
      </c>
      <c r="N18" s="2" t="s">
        <v>40</v>
      </c>
      <c r="O18" s="2">
        <v>2670</v>
      </c>
      <c r="P18" s="2" t="s">
        <v>70</v>
      </c>
      <c r="Q18" s="3">
        <v>0.93</v>
      </c>
      <c r="R18" s="2" t="s">
        <v>154</v>
      </c>
    </row>
    <row r="19" spans="1:18" ht="15" customHeight="1" x14ac:dyDescent="0.25">
      <c r="A19" s="2">
        <v>18</v>
      </c>
      <c r="B19" s="2" t="s">
        <v>155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156</v>
      </c>
      <c r="H19" s="2" t="s">
        <v>157</v>
      </c>
      <c r="I19" s="2">
        <v>9990505735</v>
      </c>
      <c r="J19" s="2" t="s">
        <v>158</v>
      </c>
      <c r="K19" s="2" t="s">
        <v>159</v>
      </c>
      <c r="L19" s="2">
        <v>8147337803</v>
      </c>
      <c r="M19" s="2" t="s">
        <v>160</v>
      </c>
      <c r="N19" s="2" t="s">
        <v>161</v>
      </c>
      <c r="O19" s="2">
        <v>4962</v>
      </c>
      <c r="P19" s="2" t="s">
        <v>70</v>
      </c>
      <c r="Q19" s="3">
        <v>0.81</v>
      </c>
      <c r="R19" s="2" t="s">
        <v>162</v>
      </c>
    </row>
    <row r="20" spans="1:18" ht="15" customHeight="1" x14ac:dyDescent="0.25">
      <c r="A20" s="2">
        <v>19</v>
      </c>
      <c r="B20" s="2" t="s">
        <v>163</v>
      </c>
      <c r="C20" s="2" t="s">
        <v>19</v>
      </c>
      <c r="D20" s="2" t="s">
        <v>164</v>
      </c>
      <c r="E20" s="2" t="s">
        <v>33</v>
      </c>
      <c r="F20" s="2" t="s">
        <v>22</v>
      </c>
      <c r="G20" s="2" t="s">
        <v>102</v>
      </c>
      <c r="H20" s="2" t="s">
        <v>165</v>
      </c>
      <c r="I20" s="2">
        <v>7561479973</v>
      </c>
      <c r="J20" s="2" t="s">
        <v>166</v>
      </c>
      <c r="K20" s="2" t="s">
        <v>167</v>
      </c>
      <c r="L20" s="2">
        <v>7144913399</v>
      </c>
      <c r="M20" s="2" t="s">
        <v>168</v>
      </c>
      <c r="N20" s="2" t="s">
        <v>138</v>
      </c>
      <c r="O20" s="2">
        <v>7739</v>
      </c>
      <c r="P20" s="2" t="s">
        <v>139</v>
      </c>
      <c r="Q20" s="3">
        <v>0.85</v>
      </c>
      <c r="R20" s="2" t="s">
        <v>169</v>
      </c>
    </row>
    <row r="21" spans="1:18" ht="15" customHeight="1" x14ac:dyDescent="0.25">
      <c r="A21" s="2">
        <v>20</v>
      </c>
      <c r="B21" s="2" t="s">
        <v>170</v>
      </c>
      <c r="C21" s="2" t="s">
        <v>19</v>
      </c>
      <c r="D21" s="2" t="s">
        <v>171</v>
      </c>
      <c r="E21" s="2" t="s">
        <v>33</v>
      </c>
      <c r="F21" s="2" t="s">
        <v>22</v>
      </c>
      <c r="G21" s="2" t="s">
        <v>156</v>
      </c>
      <c r="H21" s="2" t="s">
        <v>172</v>
      </c>
      <c r="I21" s="2">
        <v>7542697755</v>
      </c>
      <c r="J21" s="2" t="s">
        <v>173</v>
      </c>
      <c r="K21" s="2" t="s">
        <v>174</v>
      </c>
      <c r="L21" s="2">
        <v>6292587044</v>
      </c>
      <c r="M21" s="2" t="s">
        <v>175</v>
      </c>
      <c r="N21" s="2" t="s">
        <v>60</v>
      </c>
      <c r="O21" s="2">
        <v>3941</v>
      </c>
      <c r="P21" s="2" t="s">
        <v>29</v>
      </c>
      <c r="Q21" s="3">
        <v>0.66</v>
      </c>
      <c r="R21" s="2" t="s">
        <v>176</v>
      </c>
    </row>
    <row r="22" spans="1:18" ht="15" customHeight="1" x14ac:dyDescent="0.25">
      <c r="A22" s="2">
        <v>21</v>
      </c>
      <c r="B22" s="2" t="s">
        <v>177</v>
      </c>
      <c r="C22" s="2" t="s">
        <v>19</v>
      </c>
      <c r="D22" s="2" t="s">
        <v>178</v>
      </c>
      <c r="E22" s="2" t="s">
        <v>33</v>
      </c>
      <c r="F22" s="2" t="s">
        <v>22</v>
      </c>
      <c r="G22" s="2" t="s">
        <v>23</v>
      </c>
      <c r="H22" s="2" t="s">
        <v>179</v>
      </c>
      <c r="I22" s="2">
        <v>7339362341</v>
      </c>
      <c r="J22" s="2" t="s">
        <v>180</v>
      </c>
      <c r="K22" s="2" t="s">
        <v>181</v>
      </c>
      <c r="L22" s="2">
        <v>6808705238</v>
      </c>
      <c r="M22" s="2" t="s">
        <v>182</v>
      </c>
      <c r="N22" s="2" t="s">
        <v>40</v>
      </c>
      <c r="O22" s="2">
        <v>3108</v>
      </c>
      <c r="P22" s="2" t="s">
        <v>41</v>
      </c>
      <c r="Q22" s="3">
        <v>0.85</v>
      </c>
      <c r="R22" s="2" t="s">
        <v>183</v>
      </c>
    </row>
    <row r="23" spans="1:18" ht="15" customHeight="1" x14ac:dyDescent="0.25">
      <c r="A23" s="2">
        <v>22</v>
      </c>
      <c r="B23" s="2" t="s">
        <v>184</v>
      </c>
      <c r="C23" s="2" t="s">
        <v>19</v>
      </c>
      <c r="D23" s="2" t="s">
        <v>185</v>
      </c>
      <c r="E23" s="2" t="s">
        <v>33</v>
      </c>
      <c r="F23" s="2" t="s">
        <v>22</v>
      </c>
      <c r="G23" s="2" t="s">
        <v>156</v>
      </c>
      <c r="H23" s="2" t="s">
        <v>186</v>
      </c>
      <c r="I23" s="2">
        <v>9471178705</v>
      </c>
      <c r="J23" s="2" t="s">
        <v>187</v>
      </c>
      <c r="K23" s="2" t="s">
        <v>188</v>
      </c>
      <c r="L23" s="2">
        <v>8568574364</v>
      </c>
      <c r="M23" s="2" t="s">
        <v>160</v>
      </c>
      <c r="N23" s="2" t="s">
        <v>40</v>
      </c>
      <c r="O23" s="2">
        <v>6253</v>
      </c>
      <c r="P23" s="2" t="s">
        <v>29</v>
      </c>
      <c r="Q23" s="3">
        <v>0.77</v>
      </c>
      <c r="R23" s="2" t="s">
        <v>189</v>
      </c>
    </row>
    <row r="24" spans="1:18" ht="15" customHeight="1" x14ac:dyDescent="0.25">
      <c r="A24" s="2">
        <v>23</v>
      </c>
      <c r="B24" s="2" t="s">
        <v>190</v>
      </c>
      <c r="C24" s="2" t="s">
        <v>19</v>
      </c>
      <c r="D24" s="2" t="s">
        <v>44</v>
      </c>
      <c r="E24" s="2" t="s">
        <v>55</v>
      </c>
      <c r="F24" s="2" t="s">
        <v>34</v>
      </c>
      <c r="G24" s="2" t="s">
        <v>35</v>
      </c>
      <c r="H24" s="2" t="s">
        <v>191</v>
      </c>
      <c r="I24" s="2">
        <v>6813219781</v>
      </c>
      <c r="J24" s="2" t="s">
        <v>192</v>
      </c>
      <c r="K24" s="2" t="s">
        <v>193</v>
      </c>
      <c r="L24" s="2">
        <v>8769108025</v>
      </c>
      <c r="M24" s="2" t="s">
        <v>194</v>
      </c>
      <c r="N24" s="2" t="s">
        <v>195</v>
      </c>
      <c r="O24" s="2">
        <v>4673</v>
      </c>
      <c r="P24" s="2" t="s">
        <v>51</v>
      </c>
      <c r="Q24" s="3">
        <v>0.85</v>
      </c>
      <c r="R24" s="2" t="s">
        <v>196</v>
      </c>
    </row>
    <row r="25" spans="1:18" ht="15" customHeight="1" x14ac:dyDescent="0.25">
      <c r="A25" s="2">
        <v>24</v>
      </c>
      <c r="B25" s="2" t="s">
        <v>197</v>
      </c>
      <c r="C25" s="2" t="s">
        <v>19</v>
      </c>
      <c r="D25" s="2" t="s">
        <v>178</v>
      </c>
      <c r="E25" s="2" t="s">
        <v>55</v>
      </c>
      <c r="F25" s="2" t="s">
        <v>22</v>
      </c>
      <c r="G25" s="2" t="s">
        <v>102</v>
      </c>
      <c r="H25" s="2" t="s">
        <v>198</v>
      </c>
      <c r="I25" s="2">
        <v>8536019893</v>
      </c>
      <c r="J25" s="2" t="s">
        <v>199</v>
      </c>
      <c r="K25" s="2" t="s">
        <v>200</v>
      </c>
      <c r="L25" s="2">
        <v>6426283245</v>
      </c>
      <c r="M25" s="2" t="s">
        <v>201</v>
      </c>
      <c r="N25" s="2" t="s">
        <v>202</v>
      </c>
      <c r="O25" s="2">
        <v>11426</v>
      </c>
      <c r="P25" s="2" t="s">
        <v>77</v>
      </c>
      <c r="Q25" s="3">
        <v>0.69</v>
      </c>
      <c r="R25" s="2" t="s">
        <v>203</v>
      </c>
    </row>
    <row r="26" spans="1:18" ht="15" customHeight="1" x14ac:dyDescent="0.25">
      <c r="A26" s="2">
        <v>25</v>
      </c>
      <c r="B26" s="2" t="s">
        <v>204</v>
      </c>
      <c r="C26" s="2" t="s">
        <v>19</v>
      </c>
      <c r="D26" s="2" t="s">
        <v>171</v>
      </c>
      <c r="E26" s="2" t="s">
        <v>21</v>
      </c>
      <c r="F26" s="2" t="s">
        <v>22</v>
      </c>
      <c r="G26" s="2" t="s">
        <v>35</v>
      </c>
      <c r="H26" s="2" t="s">
        <v>205</v>
      </c>
      <c r="I26" s="2">
        <v>8200273738</v>
      </c>
      <c r="J26" s="2" t="s">
        <v>206</v>
      </c>
      <c r="K26" s="2" t="s">
        <v>207</v>
      </c>
      <c r="L26" s="2">
        <v>7822408848</v>
      </c>
      <c r="M26" s="2" t="s">
        <v>208</v>
      </c>
      <c r="N26" s="2" t="s">
        <v>146</v>
      </c>
      <c r="O26" s="2">
        <v>8118</v>
      </c>
      <c r="P26" s="2" t="s">
        <v>77</v>
      </c>
      <c r="Q26" s="3">
        <v>0.74</v>
      </c>
      <c r="R26" s="2" t="s">
        <v>209</v>
      </c>
    </row>
    <row r="27" spans="1:18" ht="15" customHeight="1" x14ac:dyDescent="0.25">
      <c r="A27" s="2">
        <v>26</v>
      </c>
      <c r="B27" s="2" t="s">
        <v>210</v>
      </c>
      <c r="C27" s="2" t="s">
        <v>19</v>
      </c>
      <c r="D27" s="2" t="s">
        <v>171</v>
      </c>
      <c r="E27" s="2" t="s">
        <v>21</v>
      </c>
      <c r="F27" s="2" t="s">
        <v>22</v>
      </c>
      <c r="G27" s="2" t="s">
        <v>23</v>
      </c>
      <c r="H27" s="2" t="s">
        <v>211</v>
      </c>
      <c r="I27" s="2">
        <v>9361976301</v>
      </c>
      <c r="J27" s="2" t="s">
        <v>212</v>
      </c>
      <c r="K27" s="2" t="s">
        <v>213</v>
      </c>
      <c r="L27" s="2">
        <v>7804436922</v>
      </c>
      <c r="M27" s="2" t="s">
        <v>214</v>
      </c>
      <c r="N27" s="2" t="s">
        <v>215</v>
      </c>
      <c r="O27" s="2">
        <v>1257</v>
      </c>
      <c r="P27" s="2" t="s">
        <v>61</v>
      </c>
      <c r="Q27" s="3">
        <v>0.97</v>
      </c>
      <c r="R27" s="2" t="s">
        <v>216</v>
      </c>
    </row>
    <row r="28" spans="1:18" ht="15" customHeight="1" x14ac:dyDescent="0.25">
      <c r="A28" s="2">
        <v>27</v>
      </c>
      <c r="B28" s="2" t="s">
        <v>217</v>
      </c>
      <c r="C28" s="2" t="s">
        <v>19</v>
      </c>
      <c r="D28" s="2" t="s">
        <v>164</v>
      </c>
      <c r="E28" s="2" t="s">
        <v>21</v>
      </c>
      <c r="F28" s="2" t="s">
        <v>22</v>
      </c>
      <c r="G28" s="2" t="s">
        <v>23</v>
      </c>
      <c r="H28" s="2" t="s">
        <v>218</v>
      </c>
      <c r="I28" s="2">
        <v>8910943524</v>
      </c>
      <c r="J28" s="2" t="s">
        <v>219</v>
      </c>
      <c r="K28" s="2" t="s">
        <v>220</v>
      </c>
      <c r="L28" s="2">
        <v>9757830420</v>
      </c>
      <c r="M28" s="2" t="s">
        <v>192</v>
      </c>
      <c r="N28" s="2" t="s">
        <v>138</v>
      </c>
      <c r="O28" s="2">
        <v>11901</v>
      </c>
      <c r="P28" s="2" t="s">
        <v>139</v>
      </c>
      <c r="Q28" s="3">
        <v>0.75</v>
      </c>
      <c r="R28" s="2" t="s">
        <v>221</v>
      </c>
    </row>
    <row r="29" spans="1:18" ht="15" customHeight="1" x14ac:dyDescent="0.25">
      <c r="A29" s="2">
        <v>28</v>
      </c>
      <c r="B29" s="2" t="s">
        <v>222</v>
      </c>
      <c r="C29" s="2" t="s">
        <v>19</v>
      </c>
      <c r="D29" s="2" t="s">
        <v>223</v>
      </c>
      <c r="E29" s="2" t="s">
        <v>33</v>
      </c>
      <c r="F29" s="2" t="s">
        <v>22</v>
      </c>
      <c r="G29" s="2" t="s">
        <v>35</v>
      </c>
      <c r="H29" s="2" t="s">
        <v>224</v>
      </c>
      <c r="I29" s="2">
        <v>7394846763</v>
      </c>
      <c r="J29" s="2" t="s">
        <v>225</v>
      </c>
      <c r="K29" s="2" t="s">
        <v>226</v>
      </c>
      <c r="L29" s="2">
        <v>9183197117</v>
      </c>
      <c r="M29" s="2" t="s">
        <v>227</v>
      </c>
      <c r="N29" s="2" t="s">
        <v>84</v>
      </c>
      <c r="O29" s="2">
        <v>3107</v>
      </c>
      <c r="P29" s="2" t="s">
        <v>29</v>
      </c>
      <c r="Q29" s="3">
        <v>0.92</v>
      </c>
      <c r="R29" s="2" t="s">
        <v>228</v>
      </c>
    </row>
    <row r="30" spans="1:18" ht="15" customHeight="1" x14ac:dyDescent="0.25">
      <c r="A30" s="2">
        <v>29</v>
      </c>
      <c r="B30" s="2" t="s">
        <v>229</v>
      </c>
      <c r="C30" s="2" t="s">
        <v>19</v>
      </c>
      <c r="D30" s="2" t="s">
        <v>171</v>
      </c>
      <c r="E30" s="2" t="s">
        <v>21</v>
      </c>
      <c r="F30" s="2" t="s">
        <v>22</v>
      </c>
      <c r="G30" s="2" t="s">
        <v>102</v>
      </c>
      <c r="H30" s="2" t="s">
        <v>230</v>
      </c>
      <c r="I30" s="2">
        <v>9166857303</v>
      </c>
      <c r="J30" s="2" t="s">
        <v>231</v>
      </c>
      <c r="K30" s="2" t="s">
        <v>232</v>
      </c>
      <c r="L30" s="2">
        <v>7994310083</v>
      </c>
      <c r="M30" s="2" t="s">
        <v>233</v>
      </c>
      <c r="N30" s="2" t="s">
        <v>99</v>
      </c>
      <c r="O30" s="2">
        <v>2767</v>
      </c>
      <c r="P30" s="2" t="s">
        <v>61</v>
      </c>
      <c r="Q30" s="3">
        <v>0.65</v>
      </c>
      <c r="R30" s="2" t="s">
        <v>234</v>
      </c>
    </row>
    <row r="31" spans="1:18" ht="15" customHeight="1" x14ac:dyDescent="0.25">
      <c r="A31" s="2">
        <v>30</v>
      </c>
      <c r="B31" s="2" t="s">
        <v>235</v>
      </c>
      <c r="C31" s="2" t="s">
        <v>19</v>
      </c>
      <c r="D31" s="2" t="s">
        <v>80</v>
      </c>
      <c r="E31" s="2" t="s">
        <v>33</v>
      </c>
      <c r="F31" s="2" t="s">
        <v>22</v>
      </c>
      <c r="G31" s="2" t="s">
        <v>35</v>
      </c>
      <c r="H31" s="2" t="s">
        <v>236</v>
      </c>
      <c r="I31" s="2">
        <v>9335602191</v>
      </c>
      <c r="J31" s="2" t="s">
        <v>237</v>
      </c>
      <c r="K31" s="2" t="s">
        <v>238</v>
      </c>
      <c r="L31" s="2">
        <v>8567975319</v>
      </c>
      <c r="M31" s="2" t="s">
        <v>239</v>
      </c>
      <c r="N31" s="2" t="s">
        <v>215</v>
      </c>
      <c r="O31" s="2">
        <v>9932</v>
      </c>
      <c r="P31" s="2" t="s">
        <v>77</v>
      </c>
      <c r="Q31" s="3">
        <v>0.76</v>
      </c>
      <c r="R31" s="2" t="s">
        <v>240</v>
      </c>
    </row>
    <row r="32" spans="1:18" ht="15" customHeight="1" x14ac:dyDescent="0.25">
      <c r="A32" s="2">
        <v>31</v>
      </c>
      <c r="B32" s="2" t="s">
        <v>241</v>
      </c>
      <c r="C32" s="2" t="s">
        <v>19</v>
      </c>
      <c r="D32" s="2" t="s">
        <v>242</v>
      </c>
      <c r="E32" s="2" t="s">
        <v>21</v>
      </c>
      <c r="F32" s="2" t="s">
        <v>22</v>
      </c>
      <c r="G32" s="2" t="s">
        <v>45</v>
      </c>
      <c r="H32" s="2" t="s">
        <v>243</v>
      </c>
      <c r="I32" s="2">
        <v>9245706210</v>
      </c>
      <c r="J32" s="2" t="s">
        <v>244</v>
      </c>
      <c r="K32" s="2" t="s">
        <v>245</v>
      </c>
      <c r="L32" s="2">
        <v>9295130056</v>
      </c>
      <c r="M32" s="2" t="s">
        <v>246</v>
      </c>
      <c r="N32" s="2" t="s">
        <v>138</v>
      </c>
      <c r="O32" s="2">
        <v>8157</v>
      </c>
      <c r="P32" s="2" t="s">
        <v>61</v>
      </c>
      <c r="Q32" s="3">
        <v>0.97</v>
      </c>
      <c r="R32" s="2" t="s">
        <v>247</v>
      </c>
    </row>
    <row r="33" spans="1:18" ht="15" customHeight="1" x14ac:dyDescent="0.25">
      <c r="A33" s="2">
        <v>32</v>
      </c>
      <c r="B33" s="2" t="s">
        <v>248</v>
      </c>
      <c r="C33" s="2" t="s">
        <v>19</v>
      </c>
      <c r="D33" s="2" t="s">
        <v>127</v>
      </c>
      <c r="E33" s="2" t="s">
        <v>33</v>
      </c>
      <c r="F33" s="2" t="s">
        <v>22</v>
      </c>
      <c r="G33" s="2" t="s">
        <v>23</v>
      </c>
      <c r="H33" s="2" t="s">
        <v>249</v>
      </c>
      <c r="I33" s="2">
        <v>6475767056</v>
      </c>
      <c r="J33" s="2" t="s">
        <v>250</v>
      </c>
      <c r="K33" s="2" t="s">
        <v>251</v>
      </c>
      <c r="L33" s="2">
        <v>7798086909</v>
      </c>
      <c r="M33" s="2" t="s">
        <v>252</v>
      </c>
      <c r="N33" s="2" t="s">
        <v>84</v>
      </c>
      <c r="O33" s="2">
        <v>5855</v>
      </c>
      <c r="P33" s="2" t="s">
        <v>70</v>
      </c>
      <c r="Q33" s="3">
        <v>0.88</v>
      </c>
      <c r="R33" s="2" t="s">
        <v>253</v>
      </c>
    </row>
    <row r="34" spans="1:18" ht="15" customHeight="1" x14ac:dyDescent="0.25">
      <c r="A34" s="2">
        <v>33</v>
      </c>
      <c r="B34" s="2" t="s">
        <v>254</v>
      </c>
      <c r="C34" s="2" t="s">
        <v>19</v>
      </c>
      <c r="D34" s="2" t="s">
        <v>110</v>
      </c>
      <c r="E34" s="2" t="s">
        <v>55</v>
      </c>
      <c r="F34" s="2" t="s">
        <v>34</v>
      </c>
      <c r="G34" s="2" t="s">
        <v>156</v>
      </c>
      <c r="H34" s="2" t="s">
        <v>255</v>
      </c>
      <c r="I34" s="2">
        <v>9851044796</v>
      </c>
      <c r="J34" s="2" t="s">
        <v>256</v>
      </c>
      <c r="K34" s="2" t="s">
        <v>257</v>
      </c>
      <c r="L34" s="2">
        <v>8923450567</v>
      </c>
      <c r="M34" s="2" t="s">
        <v>258</v>
      </c>
      <c r="N34" s="2" t="s">
        <v>28</v>
      </c>
      <c r="O34" s="2">
        <v>3766</v>
      </c>
      <c r="P34" s="2" t="s">
        <v>41</v>
      </c>
      <c r="Q34" s="3">
        <v>0.56000000000000005</v>
      </c>
      <c r="R34" s="2" t="s">
        <v>259</v>
      </c>
    </row>
    <row r="35" spans="1:18" ht="15" customHeight="1" x14ac:dyDescent="0.25">
      <c r="A35" s="2">
        <v>34</v>
      </c>
      <c r="B35" s="2" t="s">
        <v>260</v>
      </c>
      <c r="C35" s="2" t="s">
        <v>19</v>
      </c>
      <c r="D35" s="2" t="s">
        <v>94</v>
      </c>
      <c r="E35" s="2" t="s">
        <v>21</v>
      </c>
      <c r="F35" s="2" t="s">
        <v>22</v>
      </c>
      <c r="G35" s="2" t="s">
        <v>156</v>
      </c>
      <c r="H35" s="2" t="s">
        <v>261</v>
      </c>
      <c r="I35" s="2">
        <v>7209415691</v>
      </c>
      <c r="J35" s="2" t="s">
        <v>262</v>
      </c>
      <c r="K35" s="2" t="s">
        <v>263</v>
      </c>
      <c r="L35" s="2">
        <v>8834717549</v>
      </c>
      <c r="M35" s="2" t="s">
        <v>264</v>
      </c>
      <c r="N35" s="2" t="s">
        <v>138</v>
      </c>
      <c r="O35" s="2">
        <v>5596</v>
      </c>
      <c r="P35" s="2" t="s">
        <v>51</v>
      </c>
      <c r="Q35" s="3">
        <v>0.8</v>
      </c>
      <c r="R35" s="2" t="s">
        <v>265</v>
      </c>
    </row>
    <row r="36" spans="1:18" ht="15" customHeight="1" x14ac:dyDescent="0.25">
      <c r="A36" s="2">
        <v>35</v>
      </c>
      <c r="B36" s="2" t="s">
        <v>266</v>
      </c>
      <c r="C36" s="2" t="s">
        <v>19</v>
      </c>
      <c r="D36" s="2" t="s">
        <v>44</v>
      </c>
      <c r="E36" s="2" t="s">
        <v>21</v>
      </c>
      <c r="F36" s="2" t="s">
        <v>22</v>
      </c>
      <c r="G36" s="2" t="s">
        <v>35</v>
      </c>
      <c r="H36" s="2" t="s">
        <v>267</v>
      </c>
      <c r="I36" s="2">
        <v>6565492204</v>
      </c>
      <c r="J36" s="2" t="s">
        <v>268</v>
      </c>
      <c r="K36" s="2" t="s">
        <v>269</v>
      </c>
      <c r="L36" s="2">
        <v>8782454310</v>
      </c>
      <c r="M36" s="2" t="s">
        <v>270</v>
      </c>
      <c r="N36" s="2" t="s">
        <v>271</v>
      </c>
      <c r="O36" s="2">
        <v>6188</v>
      </c>
      <c r="P36" s="2" t="s">
        <v>139</v>
      </c>
      <c r="Q36" s="3">
        <v>0.73</v>
      </c>
      <c r="R36" s="2" t="s">
        <v>272</v>
      </c>
    </row>
    <row r="37" spans="1:18" ht="15" customHeight="1" x14ac:dyDescent="0.25">
      <c r="A37" s="2">
        <v>36</v>
      </c>
      <c r="B37" s="2" t="s">
        <v>273</v>
      </c>
      <c r="C37" s="2" t="s">
        <v>19</v>
      </c>
      <c r="D37" s="2" t="s">
        <v>54</v>
      </c>
      <c r="E37" s="2" t="s">
        <v>55</v>
      </c>
      <c r="F37" s="2" t="s">
        <v>34</v>
      </c>
      <c r="G37" s="2" t="s">
        <v>23</v>
      </c>
      <c r="H37" s="2" t="s">
        <v>274</v>
      </c>
      <c r="I37" s="2">
        <v>6399496923</v>
      </c>
      <c r="J37" s="2" t="s">
        <v>212</v>
      </c>
      <c r="K37" s="2" t="s">
        <v>275</v>
      </c>
      <c r="L37" s="2">
        <v>9361846370</v>
      </c>
      <c r="M37" s="2" t="s">
        <v>276</v>
      </c>
      <c r="N37" s="2" t="s">
        <v>40</v>
      </c>
      <c r="O37" s="2">
        <v>10591</v>
      </c>
      <c r="P37" s="2" t="s">
        <v>41</v>
      </c>
      <c r="Q37" s="3">
        <v>0.95</v>
      </c>
      <c r="R37" s="2" t="s">
        <v>277</v>
      </c>
    </row>
    <row r="38" spans="1:18" ht="15" customHeight="1" x14ac:dyDescent="0.25">
      <c r="A38" s="2">
        <v>37</v>
      </c>
      <c r="B38" s="2" t="s">
        <v>278</v>
      </c>
      <c r="C38" s="2" t="s">
        <v>19</v>
      </c>
      <c r="D38" s="2" t="s">
        <v>54</v>
      </c>
      <c r="E38" s="2" t="s">
        <v>55</v>
      </c>
      <c r="F38" s="2" t="s">
        <v>22</v>
      </c>
      <c r="G38" s="2" t="s">
        <v>45</v>
      </c>
      <c r="H38" s="2" t="s">
        <v>279</v>
      </c>
      <c r="I38" s="2">
        <v>8696776072</v>
      </c>
      <c r="J38" s="2" t="s">
        <v>280</v>
      </c>
      <c r="K38" s="2" t="s">
        <v>281</v>
      </c>
      <c r="L38" s="2">
        <v>6654724287</v>
      </c>
      <c r="M38" s="2" t="s">
        <v>282</v>
      </c>
      <c r="N38" s="2" t="s">
        <v>146</v>
      </c>
      <c r="O38" s="2">
        <v>970</v>
      </c>
      <c r="P38" s="2" t="s">
        <v>77</v>
      </c>
      <c r="Q38" s="3">
        <v>0.92</v>
      </c>
      <c r="R38" s="2" t="s">
        <v>283</v>
      </c>
    </row>
    <row r="39" spans="1:18" ht="15" customHeight="1" x14ac:dyDescent="0.25">
      <c r="A39" s="2">
        <v>38</v>
      </c>
      <c r="B39" s="2" t="s">
        <v>284</v>
      </c>
      <c r="C39" s="2" t="s">
        <v>19</v>
      </c>
      <c r="D39" s="2" t="s">
        <v>185</v>
      </c>
      <c r="E39" s="2" t="s">
        <v>21</v>
      </c>
      <c r="F39" s="2" t="s">
        <v>34</v>
      </c>
      <c r="G39" s="2" t="s">
        <v>45</v>
      </c>
      <c r="H39" s="2" t="s">
        <v>285</v>
      </c>
      <c r="I39" s="2">
        <v>7428786222</v>
      </c>
      <c r="J39" s="2" t="s">
        <v>286</v>
      </c>
      <c r="K39" s="2" t="s">
        <v>287</v>
      </c>
      <c r="L39" s="2">
        <v>8608159580</v>
      </c>
      <c r="M39" s="2" t="s">
        <v>288</v>
      </c>
      <c r="N39" s="2" t="s">
        <v>289</v>
      </c>
      <c r="O39" s="2">
        <v>9596</v>
      </c>
      <c r="P39" s="2" t="s">
        <v>41</v>
      </c>
      <c r="Q39" s="3">
        <v>0.65</v>
      </c>
      <c r="R39" s="2" t="s">
        <v>290</v>
      </c>
    </row>
    <row r="40" spans="1:18" ht="15" customHeight="1" x14ac:dyDescent="0.25">
      <c r="A40" s="2">
        <v>39</v>
      </c>
      <c r="B40" s="2" t="s">
        <v>291</v>
      </c>
      <c r="C40" s="2" t="s">
        <v>19</v>
      </c>
      <c r="D40" s="2" t="s">
        <v>32</v>
      </c>
      <c r="E40" s="2" t="s">
        <v>55</v>
      </c>
      <c r="F40" s="2" t="s">
        <v>22</v>
      </c>
      <c r="G40" s="2" t="s">
        <v>35</v>
      </c>
      <c r="H40" s="2" t="s">
        <v>224</v>
      </c>
      <c r="I40" s="2">
        <v>7305665554</v>
      </c>
      <c r="J40" s="2" t="s">
        <v>292</v>
      </c>
      <c r="K40" s="2" t="s">
        <v>293</v>
      </c>
      <c r="L40" s="2">
        <v>7893070706</v>
      </c>
      <c r="M40" s="2" t="s">
        <v>294</v>
      </c>
      <c r="N40" s="2" t="s">
        <v>146</v>
      </c>
      <c r="O40" s="2">
        <v>6264</v>
      </c>
      <c r="P40" s="2" t="s">
        <v>29</v>
      </c>
      <c r="Q40" s="3">
        <v>0.75</v>
      </c>
      <c r="R40" s="2" t="s">
        <v>295</v>
      </c>
    </row>
    <row r="41" spans="1:18" ht="15" customHeight="1" x14ac:dyDescent="0.25">
      <c r="A41" s="2">
        <v>40</v>
      </c>
      <c r="B41" s="2" t="s">
        <v>296</v>
      </c>
      <c r="C41" s="2" t="s">
        <v>19</v>
      </c>
      <c r="D41" s="2" t="s">
        <v>242</v>
      </c>
      <c r="E41" s="2" t="s">
        <v>33</v>
      </c>
      <c r="F41" s="2" t="s">
        <v>22</v>
      </c>
      <c r="G41" s="2" t="s">
        <v>35</v>
      </c>
      <c r="H41" s="2" t="s">
        <v>297</v>
      </c>
      <c r="I41" s="2">
        <v>6158546865</v>
      </c>
      <c r="J41" s="2" t="s">
        <v>298</v>
      </c>
      <c r="K41" s="2" t="s">
        <v>299</v>
      </c>
      <c r="L41" s="2">
        <v>8848846217</v>
      </c>
      <c r="M41" s="2" t="s">
        <v>300</v>
      </c>
      <c r="N41" s="2" t="s">
        <v>202</v>
      </c>
      <c r="O41" s="2">
        <v>2147</v>
      </c>
      <c r="P41" s="2" t="s">
        <v>41</v>
      </c>
      <c r="Q41" s="3">
        <v>0.63</v>
      </c>
      <c r="R41" s="2" t="s">
        <v>301</v>
      </c>
    </row>
    <row r="42" spans="1:18" ht="15" customHeight="1" x14ac:dyDescent="0.25">
      <c r="A42" s="2">
        <v>41</v>
      </c>
      <c r="B42" s="2" t="s">
        <v>302</v>
      </c>
      <c r="C42" s="2" t="s">
        <v>19</v>
      </c>
      <c r="D42" s="2" t="s">
        <v>303</v>
      </c>
      <c r="E42" s="2" t="s">
        <v>55</v>
      </c>
      <c r="F42" s="2" t="s">
        <v>22</v>
      </c>
      <c r="G42" s="2" t="s">
        <v>45</v>
      </c>
      <c r="H42" s="2" t="s">
        <v>304</v>
      </c>
      <c r="I42" s="2">
        <v>6530256336</v>
      </c>
      <c r="J42" s="2" t="s">
        <v>305</v>
      </c>
      <c r="K42" s="2" t="s">
        <v>306</v>
      </c>
      <c r="L42" s="2">
        <v>9179545125</v>
      </c>
      <c r="M42" s="2" t="s">
        <v>307</v>
      </c>
      <c r="N42" s="2" t="s">
        <v>50</v>
      </c>
      <c r="O42" s="2">
        <v>700</v>
      </c>
      <c r="P42" s="2" t="s">
        <v>139</v>
      </c>
      <c r="Q42" s="3">
        <v>0.67</v>
      </c>
      <c r="R42" s="2" t="s">
        <v>308</v>
      </c>
    </row>
    <row r="43" spans="1:18" ht="15" customHeight="1" x14ac:dyDescent="0.25">
      <c r="A43" s="2">
        <v>42</v>
      </c>
      <c r="B43" s="2" t="s">
        <v>309</v>
      </c>
      <c r="C43" s="2" t="s">
        <v>19</v>
      </c>
      <c r="D43" s="2" t="s">
        <v>149</v>
      </c>
      <c r="E43" s="2" t="s">
        <v>55</v>
      </c>
      <c r="F43" s="2" t="s">
        <v>22</v>
      </c>
      <c r="G43" s="2" t="s">
        <v>23</v>
      </c>
      <c r="H43" s="2" t="s">
        <v>81</v>
      </c>
      <c r="I43" s="2">
        <v>9575368059</v>
      </c>
      <c r="J43" s="2" t="s">
        <v>82</v>
      </c>
      <c r="K43" s="2" t="s">
        <v>310</v>
      </c>
      <c r="L43" s="2">
        <v>8731924051</v>
      </c>
      <c r="M43" s="2" t="s">
        <v>311</v>
      </c>
      <c r="N43" s="2" t="s">
        <v>161</v>
      </c>
      <c r="O43" s="2">
        <v>9721</v>
      </c>
      <c r="P43" s="2" t="s">
        <v>70</v>
      </c>
      <c r="Q43" s="3">
        <v>0.59</v>
      </c>
      <c r="R43" s="2" t="s">
        <v>312</v>
      </c>
    </row>
    <row r="44" spans="1:18" ht="15" customHeight="1" x14ac:dyDescent="0.25">
      <c r="A44" s="2">
        <v>43</v>
      </c>
      <c r="B44" s="2" t="s">
        <v>313</v>
      </c>
      <c r="C44" s="2" t="s">
        <v>19</v>
      </c>
      <c r="D44" s="2" t="s">
        <v>80</v>
      </c>
      <c r="E44" s="2" t="s">
        <v>33</v>
      </c>
      <c r="F44" s="2" t="s">
        <v>22</v>
      </c>
      <c r="G44" s="2" t="s">
        <v>156</v>
      </c>
      <c r="H44" s="2" t="s">
        <v>314</v>
      </c>
      <c r="I44" s="2">
        <v>9583724666</v>
      </c>
      <c r="J44" s="2" t="s">
        <v>315</v>
      </c>
      <c r="K44" s="2" t="s">
        <v>316</v>
      </c>
      <c r="L44" s="2">
        <v>9412737284</v>
      </c>
      <c r="M44" s="2" t="s">
        <v>317</v>
      </c>
      <c r="N44" s="2" t="s">
        <v>50</v>
      </c>
      <c r="O44" s="2">
        <v>3904</v>
      </c>
      <c r="P44" s="2" t="s">
        <v>29</v>
      </c>
      <c r="Q44" s="3">
        <v>0.64</v>
      </c>
      <c r="R44" s="2" t="s">
        <v>318</v>
      </c>
    </row>
    <row r="45" spans="1:18" ht="15" customHeight="1" x14ac:dyDescent="0.25">
      <c r="A45" s="2">
        <v>44</v>
      </c>
      <c r="B45" s="2" t="s">
        <v>319</v>
      </c>
      <c r="C45" s="2" t="s">
        <v>19</v>
      </c>
      <c r="D45" s="2" t="s">
        <v>127</v>
      </c>
      <c r="E45" s="2" t="s">
        <v>21</v>
      </c>
      <c r="F45" s="2" t="s">
        <v>22</v>
      </c>
      <c r="G45" s="2" t="s">
        <v>102</v>
      </c>
      <c r="H45" s="2" t="s">
        <v>320</v>
      </c>
      <c r="I45" s="2">
        <v>7176675731</v>
      </c>
      <c r="J45" s="2" t="s">
        <v>321</v>
      </c>
      <c r="K45" s="2" t="s">
        <v>322</v>
      </c>
      <c r="L45" s="2">
        <v>6278158234</v>
      </c>
      <c r="M45" s="2" t="s">
        <v>323</v>
      </c>
      <c r="N45" s="2" t="s">
        <v>84</v>
      </c>
      <c r="O45" s="2">
        <v>1666</v>
      </c>
      <c r="P45" s="2" t="s">
        <v>29</v>
      </c>
      <c r="Q45" s="3">
        <v>0.65</v>
      </c>
      <c r="R45" s="2" t="s">
        <v>324</v>
      </c>
    </row>
    <row r="46" spans="1:18" ht="15" customHeight="1" x14ac:dyDescent="0.25">
      <c r="A46" s="2">
        <v>45</v>
      </c>
      <c r="B46" s="2" t="s">
        <v>325</v>
      </c>
      <c r="C46" s="2" t="s">
        <v>19</v>
      </c>
      <c r="D46" s="2" t="s">
        <v>171</v>
      </c>
      <c r="E46" s="2" t="s">
        <v>55</v>
      </c>
      <c r="F46" s="2" t="s">
        <v>22</v>
      </c>
      <c r="G46" s="2" t="s">
        <v>35</v>
      </c>
      <c r="H46" s="2" t="s">
        <v>326</v>
      </c>
      <c r="I46" s="2">
        <v>6563887247</v>
      </c>
      <c r="J46" s="2" t="s">
        <v>327</v>
      </c>
      <c r="K46" s="2" t="s">
        <v>328</v>
      </c>
      <c r="L46" s="2">
        <v>8748232591</v>
      </c>
      <c r="M46" s="2" t="s">
        <v>286</v>
      </c>
      <c r="N46" s="2" t="s">
        <v>202</v>
      </c>
      <c r="O46" s="2">
        <v>7695</v>
      </c>
      <c r="P46" s="2" t="s">
        <v>51</v>
      </c>
      <c r="Q46" s="3">
        <v>0.75</v>
      </c>
      <c r="R46" s="2" t="s">
        <v>329</v>
      </c>
    </row>
    <row r="47" spans="1:18" ht="15" customHeight="1" x14ac:dyDescent="0.25">
      <c r="A47" s="2">
        <v>46</v>
      </c>
      <c r="B47" s="2" t="s">
        <v>330</v>
      </c>
      <c r="C47" s="2" t="s">
        <v>19</v>
      </c>
      <c r="D47" s="2" t="s">
        <v>87</v>
      </c>
      <c r="E47" s="2" t="s">
        <v>21</v>
      </c>
      <c r="F47" s="2" t="s">
        <v>34</v>
      </c>
      <c r="G47" s="2" t="s">
        <v>35</v>
      </c>
      <c r="H47" s="2" t="s">
        <v>331</v>
      </c>
      <c r="I47" s="2">
        <v>9781594897</v>
      </c>
      <c r="J47" s="2" t="s">
        <v>332</v>
      </c>
      <c r="K47" s="2" t="s">
        <v>333</v>
      </c>
      <c r="L47" s="2">
        <v>9197970787</v>
      </c>
      <c r="M47" s="2" t="s">
        <v>334</v>
      </c>
      <c r="N47" s="2" t="s">
        <v>215</v>
      </c>
      <c r="O47" s="2">
        <v>11514</v>
      </c>
      <c r="P47" s="2" t="s">
        <v>41</v>
      </c>
      <c r="Q47" s="3">
        <v>0.67</v>
      </c>
      <c r="R47" s="2" t="s">
        <v>335</v>
      </c>
    </row>
    <row r="48" spans="1:18" ht="15" customHeight="1" x14ac:dyDescent="0.25">
      <c r="A48" s="2">
        <v>47</v>
      </c>
      <c r="B48" s="2" t="s">
        <v>336</v>
      </c>
      <c r="C48" s="2" t="s">
        <v>19</v>
      </c>
      <c r="D48" s="2" t="s">
        <v>242</v>
      </c>
      <c r="E48" s="2" t="s">
        <v>33</v>
      </c>
      <c r="F48" s="2" t="s">
        <v>22</v>
      </c>
      <c r="G48" s="2" t="s">
        <v>102</v>
      </c>
      <c r="H48" s="2" t="s">
        <v>337</v>
      </c>
      <c r="I48" s="2">
        <v>8447112584</v>
      </c>
      <c r="J48" s="2" t="s">
        <v>338</v>
      </c>
      <c r="K48" s="2" t="s">
        <v>339</v>
      </c>
      <c r="L48" s="2">
        <v>6929517022</v>
      </c>
      <c r="M48" s="2" t="s">
        <v>340</v>
      </c>
      <c r="N48" s="2" t="s">
        <v>50</v>
      </c>
      <c r="O48" s="2">
        <v>3134</v>
      </c>
      <c r="P48" s="2" t="s">
        <v>70</v>
      </c>
      <c r="Q48" s="3">
        <v>0.73</v>
      </c>
      <c r="R48" s="2" t="s">
        <v>341</v>
      </c>
    </row>
    <row r="49" spans="1:18" ht="15" customHeight="1" x14ac:dyDescent="0.25">
      <c r="A49" s="2">
        <v>48</v>
      </c>
      <c r="B49" s="2" t="s">
        <v>342</v>
      </c>
      <c r="C49" s="2" t="s">
        <v>19</v>
      </c>
      <c r="D49" s="2" t="s">
        <v>343</v>
      </c>
      <c r="E49" s="2" t="s">
        <v>55</v>
      </c>
      <c r="F49" s="2" t="s">
        <v>22</v>
      </c>
      <c r="G49" s="2" t="s">
        <v>156</v>
      </c>
      <c r="H49" s="2" t="s">
        <v>285</v>
      </c>
      <c r="I49" s="2">
        <v>8570423569</v>
      </c>
      <c r="J49" s="2" t="s">
        <v>286</v>
      </c>
      <c r="K49" s="2" t="s">
        <v>344</v>
      </c>
      <c r="L49" s="2">
        <v>9230380269</v>
      </c>
      <c r="M49" s="2" t="s">
        <v>345</v>
      </c>
      <c r="N49" s="2" t="s">
        <v>84</v>
      </c>
      <c r="O49" s="2">
        <v>7270</v>
      </c>
      <c r="P49" s="2" t="s">
        <v>51</v>
      </c>
      <c r="Q49" s="3">
        <v>0.63</v>
      </c>
      <c r="R49" s="2" t="s">
        <v>346</v>
      </c>
    </row>
    <row r="50" spans="1:18" ht="15" customHeight="1" x14ac:dyDescent="0.25">
      <c r="A50" s="2">
        <v>49</v>
      </c>
      <c r="B50" s="2" t="s">
        <v>347</v>
      </c>
      <c r="C50" s="2" t="s">
        <v>19</v>
      </c>
      <c r="D50" s="2" t="s">
        <v>164</v>
      </c>
      <c r="E50" s="2" t="s">
        <v>55</v>
      </c>
      <c r="F50" s="2" t="s">
        <v>22</v>
      </c>
      <c r="G50" s="2" t="s">
        <v>23</v>
      </c>
      <c r="H50" s="2" t="s">
        <v>348</v>
      </c>
      <c r="I50" s="2">
        <v>8646397165</v>
      </c>
      <c r="J50" s="2" t="s">
        <v>349</v>
      </c>
      <c r="K50" s="2" t="s">
        <v>350</v>
      </c>
      <c r="L50" s="2">
        <v>8546129354</v>
      </c>
      <c r="M50" s="2" t="s">
        <v>351</v>
      </c>
      <c r="N50" s="2" t="s">
        <v>138</v>
      </c>
      <c r="O50" s="2">
        <v>5591</v>
      </c>
      <c r="P50" s="2" t="s">
        <v>139</v>
      </c>
      <c r="Q50" s="3">
        <v>0.56000000000000005</v>
      </c>
      <c r="R50" s="2" t="s">
        <v>352</v>
      </c>
    </row>
    <row r="51" spans="1:18" ht="15" customHeight="1" x14ac:dyDescent="0.25">
      <c r="A51" s="2">
        <v>50</v>
      </c>
      <c r="B51" s="2" t="s">
        <v>353</v>
      </c>
      <c r="C51" s="2" t="s">
        <v>19</v>
      </c>
      <c r="D51" s="2" t="s">
        <v>242</v>
      </c>
      <c r="E51" s="2" t="s">
        <v>33</v>
      </c>
      <c r="F51" s="2" t="s">
        <v>34</v>
      </c>
      <c r="G51" s="2" t="s">
        <v>35</v>
      </c>
      <c r="H51" s="2" t="s">
        <v>354</v>
      </c>
      <c r="I51" s="2">
        <v>8879591310</v>
      </c>
      <c r="J51" s="2" t="s">
        <v>355</v>
      </c>
      <c r="K51" s="2" t="s">
        <v>356</v>
      </c>
      <c r="L51" s="2">
        <v>8999232921</v>
      </c>
      <c r="M51" s="2" t="s">
        <v>357</v>
      </c>
      <c r="N51" s="2" t="s">
        <v>161</v>
      </c>
      <c r="O51" s="2">
        <v>6784</v>
      </c>
      <c r="P51" s="2" t="s">
        <v>61</v>
      </c>
      <c r="Q51" s="3">
        <v>0.95</v>
      </c>
      <c r="R51" s="2" t="s">
        <v>358</v>
      </c>
    </row>
    <row r="52" spans="1:18" ht="15" customHeight="1" x14ac:dyDescent="0.25">
      <c r="A52" s="2">
        <v>51</v>
      </c>
      <c r="B52" s="2" t="s">
        <v>359</v>
      </c>
      <c r="C52" s="2" t="s">
        <v>19</v>
      </c>
      <c r="D52" s="2" t="s">
        <v>149</v>
      </c>
      <c r="E52" s="2" t="s">
        <v>55</v>
      </c>
      <c r="F52" s="2" t="s">
        <v>22</v>
      </c>
      <c r="G52" s="2" t="s">
        <v>45</v>
      </c>
      <c r="H52" s="2" t="s">
        <v>360</v>
      </c>
      <c r="I52" s="2">
        <v>9350785761</v>
      </c>
      <c r="J52" s="2" t="s">
        <v>361</v>
      </c>
      <c r="K52" s="2" t="s">
        <v>362</v>
      </c>
      <c r="L52" s="2">
        <v>9146865930</v>
      </c>
      <c r="M52" s="2" t="s">
        <v>363</v>
      </c>
      <c r="N52" s="2" t="s">
        <v>161</v>
      </c>
      <c r="O52" s="2">
        <v>7816</v>
      </c>
      <c r="P52" s="2" t="s">
        <v>139</v>
      </c>
      <c r="Q52" s="3">
        <v>0.76</v>
      </c>
      <c r="R52" s="2" t="s">
        <v>364</v>
      </c>
    </row>
    <row r="53" spans="1:18" ht="15" customHeight="1" x14ac:dyDescent="0.25">
      <c r="A53" s="2">
        <v>52</v>
      </c>
      <c r="B53" s="2" t="s">
        <v>365</v>
      </c>
      <c r="C53" s="2" t="s">
        <v>19</v>
      </c>
      <c r="D53" s="2" t="s">
        <v>178</v>
      </c>
      <c r="E53" s="2" t="s">
        <v>55</v>
      </c>
      <c r="F53" s="2" t="s">
        <v>22</v>
      </c>
      <c r="G53" s="2" t="s">
        <v>45</v>
      </c>
      <c r="H53" s="2" t="s">
        <v>366</v>
      </c>
      <c r="I53" s="2">
        <v>6664735673</v>
      </c>
      <c r="J53" s="2" t="s">
        <v>367</v>
      </c>
      <c r="K53" s="2" t="s">
        <v>38</v>
      </c>
      <c r="L53" s="2">
        <v>9116479358</v>
      </c>
      <c r="M53" s="2" t="s">
        <v>83</v>
      </c>
      <c r="N53" s="2" t="s">
        <v>107</v>
      </c>
      <c r="O53" s="2">
        <v>11373</v>
      </c>
      <c r="P53" s="2" t="s">
        <v>41</v>
      </c>
      <c r="Q53" s="3">
        <v>0.9</v>
      </c>
      <c r="R53" s="2" t="s">
        <v>368</v>
      </c>
    </row>
    <row r="54" spans="1:18" ht="15" customHeight="1" x14ac:dyDescent="0.25">
      <c r="A54" s="2">
        <v>53</v>
      </c>
      <c r="B54" s="2" t="s">
        <v>369</v>
      </c>
      <c r="C54" s="2" t="s">
        <v>19</v>
      </c>
      <c r="D54" s="2" t="s">
        <v>303</v>
      </c>
      <c r="E54" s="2" t="s">
        <v>33</v>
      </c>
      <c r="F54" s="2" t="s">
        <v>22</v>
      </c>
      <c r="G54" s="2" t="s">
        <v>23</v>
      </c>
      <c r="H54" s="2" t="s">
        <v>370</v>
      </c>
      <c r="I54" s="2">
        <v>9680911523</v>
      </c>
      <c r="J54" s="2" t="s">
        <v>371</v>
      </c>
      <c r="K54" s="2" t="s">
        <v>372</v>
      </c>
      <c r="L54" s="2">
        <v>6762992051</v>
      </c>
      <c r="M54" s="2" t="s">
        <v>361</v>
      </c>
      <c r="N54" s="2" t="s">
        <v>99</v>
      </c>
      <c r="O54" s="2">
        <v>8192</v>
      </c>
      <c r="P54" s="2" t="s">
        <v>41</v>
      </c>
      <c r="Q54" s="3">
        <v>0.97</v>
      </c>
      <c r="R54" s="2" t="s">
        <v>368</v>
      </c>
    </row>
    <row r="55" spans="1:18" ht="15" customHeight="1" x14ac:dyDescent="0.25">
      <c r="A55" s="2">
        <v>54</v>
      </c>
      <c r="B55" s="2" t="s">
        <v>373</v>
      </c>
      <c r="C55" s="2" t="s">
        <v>19</v>
      </c>
      <c r="D55" s="2" t="s">
        <v>110</v>
      </c>
      <c r="E55" s="2" t="s">
        <v>21</v>
      </c>
      <c r="F55" s="2" t="s">
        <v>22</v>
      </c>
      <c r="G55" s="2" t="s">
        <v>102</v>
      </c>
      <c r="H55" s="2" t="s">
        <v>374</v>
      </c>
      <c r="I55" s="2">
        <v>6415001254</v>
      </c>
      <c r="J55" s="2" t="s">
        <v>375</v>
      </c>
      <c r="K55" s="2" t="s">
        <v>376</v>
      </c>
      <c r="L55" s="2">
        <v>8502482554</v>
      </c>
      <c r="M55" s="2" t="s">
        <v>377</v>
      </c>
      <c r="N55" s="2" t="s">
        <v>28</v>
      </c>
      <c r="O55" s="2">
        <v>1980</v>
      </c>
      <c r="P55" s="2" t="s">
        <v>77</v>
      </c>
      <c r="Q55" s="3">
        <v>0.97</v>
      </c>
      <c r="R55" s="2" t="s">
        <v>147</v>
      </c>
    </row>
    <row r="56" spans="1:18" ht="15" customHeight="1" x14ac:dyDescent="0.25">
      <c r="A56" s="2">
        <v>55</v>
      </c>
      <c r="B56" s="2" t="s">
        <v>378</v>
      </c>
      <c r="C56" s="2" t="s">
        <v>19</v>
      </c>
      <c r="D56" s="2" t="s">
        <v>80</v>
      </c>
      <c r="E56" s="2" t="s">
        <v>21</v>
      </c>
      <c r="F56" s="2" t="s">
        <v>34</v>
      </c>
      <c r="G56" s="2" t="s">
        <v>45</v>
      </c>
      <c r="H56" s="2" t="s">
        <v>379</v>
      </c>
      <c r="I56" s="2">
        <v>8593460064</v>
      </c>
      <c r="J56" s="2" t="s">
        <v>380</v>
      </c>
      <c r="K56" s="2" t="s">
        <v>381</v>
      </c>
      <c r="L56" s="2">
        <v>8816014770</v>
      </c>
      <c r="M56" s="2" t="s">
        <v>382</v>
      </c>
      <c r="N56" s="2" t="s">
        <v>138</v>
      </c>
      <c r="O56" s="2">
        <v>3285</v>
      </c>
      <c r="P56" s="2" t="s">
        <v>61</v>
      </c>
      <c r="Q56" s="3">
        <v>0.57999999999999996</v>
      </c>
      <c r="R56" s="2" t="s">
        <v>368</v>
      </c>
    </row>
    <row r="57" spans="1:18" ht="15" customHeight="1" x14ac:dyDescent="0.25">
      <c r="A57" s="2">
        <v>56</v>
      </c>
      <c r="B57" s="2" t="s">
        <v>383</v>
      </c>
      <c r="C57" s="2" t="s">
        <v>19</v>
      </c>
      <c r="D57" s="2" t="s">
        <v>164</v>
      </c>
      <c r="E57" s="2" t="s">
        <v>33</v>
      </c>
      <c r="F57" s="2" t="s">
        <v>22</v>
      </c>
      <c r="G57" s="2" t="s">
        <v>35</v>
      </c>
      <c r="H57" s="2" t="s">
        <v>384</v>
      </c>
      <c r="I57" s="2">
        <v>6354697684</v>
      </c>
      <c r="J57" s="2" t="s">
        <v>385</v>
      </c>
      <c r="K57" s="2" t="s">
        <v>386</v>
      </c>
      <c r="L57" s="2">
        <v>9714097318</v>
      </c>
      <c r="M57" s="2" t="s">
        <v>214</v>
      </c>
      <c r="N57" s="2" t="s">
        <v>138</v>
      </c>
      <c r="O57" s="2">
        <v>1710</v>
      </c>
      <c r="P57" s="2" t="s">
        <v>77</v>
      </c>
      <c r="Q57" s="3">
        <v>0.96</v>
      </c>
      <c r="R57" s="2" t="s">
        <v>387</v>
      </c>
    </row>
    <row r="58" spans="1:18" ht="15" customHeight="1" x14ac:dyDescent="0.25">
      <c r="A58" s="2">
        <v>57</v>
      </c>
      <c r="B58" s="2" t="s">
        <v>388</v>
      </c>
      <c r="C58" s="2" t="s">
        <v>19</v>
      </c>
      <c r="D58" s="2" t="s">
        <v>94</v>
      </c>
      <c r="E58" s="2" t="s">
        <v>55</v>
      </c>
      <c r="F58" s="2" t="s">
        <v>22</v>
      </c>
      <c r="G58" s="2" t="s">
        <v>102</v>
      </c>
      <c r="H58" s="2" t="s">
        <v>389</v>
      </c>
      <c r="I58" s="2">
        <v>7766676815</v>
      </c>
      <c r="J58" s="2" t="s">
        <v>390</v>
      </c>
      <c r="K58" s="2" t="s">
        <v>391</v>
      </c>
      <c r="L58" s="2">
        <v>8827744047</v>
      </c>
      <c r="M58" s="2" t="s">
        <v>392</v>
      </c>
      <c r="N58" s="2" t="s">
        <v>215</v>
      </c>
      <c r="O58" s="2">
        <v>11284</v>
      </c>
      <c r="P58" s="2" t="s">
        <v>77</v>
      </c>
      <c r="Q58" s="3">
        <v>0.67</v>
      </c>
      <c r="R58" s="2" t="s">
        <v>393</v>
      </c>
    </row>
    <row r="59" spans="1:18" ht="15" customHeight="1" x14ac:dyDescent="0.25">
      <c r="A59" s="2">
        <v>58</v>
      </c>
      <c r="B59" s="2" t="s">
        <v>394</v>
      </c>
      <c r="C59" s="2" t="s">
        <v>19</v>
      </c>
      <c r="D59" s="2" t="s">
        <v>303</v>
      </c>
      <c r="E59" s="2" t="s">
        <v>55</v>
      </c>
      <c r="F59" s="2" t="s">
        <v>34</v>
      </c>
      <c r="G59" s="2" t="s">
        <v>156</v>
      </c>
      <c r="H59" s="2" t="s">
        <v>395</v>
      </c>
      <c r="I59" s="2">
        <v>7944511703</v>
      </c>
      <c r="J59" s="2" t="s">
        <v>396</v>
      </c>
      <c r="K59" s="2" t="s">
        <v>397</v>
      </c>
      <c r="L59" s="2">
        <v>8669998399</v>
      </c>
      <c r="M59" s="2" t="s">
        <v>398</v>
      </c>
      <c r="N59" s="2" t="s">
        <v>202</v>
      </c>
      <c r="O59" s="2">
        <v>7722</v>
      </c>
      <c r="P59" s="2" t="s">
        <v>51</v>
      </c>
      <c r="Q59" s="3">
        <v>0.8</v>
      </c>
      <c r="R59" s="2" t="s">
        <v>399</v>
      </c>
    </row>
    <row r="60" spans="1:18" ht="15" customHeight="1" x14ac:dyDescent="0.25">
      <c r="A60" s="2">
        <v>59</v>
      </c>
      <c r="B60" s="2" t="s">
        <v>400</v>
      </c>
      <c r="C60" s="2" t="s">
        <v>19</v>
      </c>
      <c r="D60" s="2" t="s">
        <v>223</v>
      </c>
      <c r="E60" s="2" t="s">
        <v>33</v>
      </c>
      <c r="F60" s="2" t="s">
        <v>22</v>
      </c>
      <c r="G60" s="2" t="s">
        <v>102</v>
      </c>
      <c r="H60" s="2" t="s">
        <v>401</v>
      </c>
      <c r="I60" s="2">
        <v>6948988297</v>
      </c>
      <c r="J60" s="2" t="s">
        <v>402</v>
      </c>
      <c r="K60" s="2" t="s">
        <v>403</v>
      </c>
      <c r="L60" s="2">
        <v>9114945047</v>
      </c>
      <c r="M60" s="2" t="s">
        <v>404</v>
      </c>
      <c r="N60" s="2" t="s">
        <v>289</v>
      </c>
      <c r="O60" s="2">
        <v>5335</v>
      </c>
      <c r="P60" s="2" t="s">
        <v>29</v>
      </c>
      <c r="Q60" s="3">
        <v>0.92</v>
      </c>
      <c r="R60" s="2" t="s">
        <v>405</v>
      </c>
    </row>
    <row r="61" spans="1:18" ht="15" customHeight="1" x14ac:dyDescent="0.25">
      <c r="A61" s="2">
        <v>60</v>
      </c>
      <c r="B61" s="2" t="s">
        <v>406</v>
      </c>
      <c r="C61" s="2" t="s">
        <v>19</v>
      </c>
      <c r="D61" s="2" t="s">
        <v>87</v>
      </c>
      <c r="E61" s="2" t="s">
        <v>55</v>
      </c>
      <c r="F61" s="2" t="s">
        <v>34</v>
      </c>
      <c r="G61" s="2" t="s">
        <v>102</v>
      </c>
      <c r="H61" s="2" t="s">
        <v>407</v>
      </c>
      <c r="I61" s="2">
        <v>6782259766</v>
      </c>
      <c r="J61" s="2" t="s">
        <v>408</v>
      </c>
      <c r="K61" s="2" t="s">
        <v>409</v>
      </c>
      <c r="L61" s="2">
        <v>9852775879</v>
      </c>
      <c r="M61" s="2" t="s">
        <v>410</v>
      </c>
      <c r="N61" s="2" t="s">
        <v>40</v>
      </c>
      <c r="O61" s="2">
        <v>10077</v>
      </c>
      <c r="P61" s="2" t="s">
        <v>77</v>
      </c>
      <c r="Q61" s="3">
        <v>0.9</v>
      </c>
      <c r="R61" s="2" t="s">
        <v>411</v>
      </c>
    </row>
    <row r="62" spans="1:18" ht="15" customHeight="1" x14ac:dyDescent="0.25">
      <c r="A62" s="2">
        <v>61</v>
      </c>
      <c r="B62" s="2" t="s">
        <v>412</v>
      </c>
      <c r="C62" s="2" t="s">
        <v>19</v>
      </c>
      <c r="D62" s="2" t="s">
        <v>171</v>
      </c>
      <c r="E62" s="2" t="s">
        <v>55</v>
      </c>
      <c r="F62" s="2" t="s">
        <v>22</v>
      </c>
      <c r="G62" s="2" t="s">
        <v>23</v>
      </c>
      <c r="H62" s="2" t="s">
        <v>413</v>
      </c>
      <c r="I62" s="2">
        <v>9730651895</v>
      </c>
      <c r="J62" s="2" t="s">
        <v>414</v>
      </c>
      <c r="K62" s="2" t="s">
        <v>415</v>
      </c>
      <c r="L62" s="2">
        <v>7545478870</v>
      </c>
      <c r="M62" s="2" t="s">
        <v>416</v>
      </c>
      <c r="N62" s="2" t="s">
        <v>271</v>
      </c>
      <c r="O62" s="2">
        <v>1109</v>
      </c>
      <c r="P62" s="2" t="s">
        <v>70</v>
      </c>
      <c r="Q62" s="3">
        <v>0.98</v>
      </c>
      <c r="R62" s="2" t="s">
        <v>417</v>
      </c>
    </row>
    <row r="63" spans="1:18" ht="15" customHeight="1" x14ac:dyDescent="0.25">
      <c r="A63" s="2">
        <v>62</v>
      </c>
      <c r="B63" s="2" t="s">
        <v>418</v>
      </c>
      <c r="C63" s="2" t="s">
        <v>19</v>
      </c>
      <c r="D63" s="2" t="s">
        <v>20</v>
      </c>
      <c r="E63" s="2" t="s">
        <v>33</v>
      </c>
      <c r="F63" s="2" t="s">
        <v>22</v>
      </c>
      <c r="G63" s="2" t="s">
        <v>102</v>
      </c>
      <c r="H63" s="2" t="s">
        <v>419</v>
      </c>
      <c r="I63" s="2">
        <v>8165015165</v>
      </c>
      <c r="J63" s="2" t="s">
        <v>420</v>
      </c>
      <c r="K63" s="2" t="s">
        <v>421</v>
      </c>
      <c r="L63" s="2">
        <v>9396225446</v>
      </c>
      <c r="M63" s="2" t="s">
        <v>422</v>
      </c>
      <c r="N63" s="2" t="s">
        <v>271</v>
      </c>
      <c r="O63" s="2">
        <v>11809</v>
      </c>
      <c r="P63" s="2" t="s">
        <v>70</v>
      </c>
      <c r="Q63" s="3">
        <v>0.64</v>
      </c>
      <c r="R63" s="2" t="s">
        <v>423</v>
      </c>
    </row>
    <row r="64" spans="1:18" ht="15" customHeight="1" x14ac:dyDescent="0.25">
      <c r="A64" s="2">
        <v>63</v>
      </c>
      <c r="B64" s="2" t="s">
        <v>424</v>
      </c>
      <c r="C64" s="2" t="s">
        <v>19</v>
      </c>
      <c r="D64" s="2" t="s">
        <v>185</v>
      </c>
      <c r="E64" s="2" t="s">
        <v>21</v>
      </c>
      <c r="F64" s="2" t="s">
        <v>22</v>
      </c>
      <c r="G64" s="2" t="s">
        <v>45</v>
      </c>
      <c r="H64" s="2" t="s">
        <v>425</v>
      </c>
      <c r="I64" s="2">
        <v>7729624046</v>
      </c>
      <c r="J64" s="2" t="s">
        <v>426</v>
      </c>
      <c r="K64" s="2" t="s">
        <v>427</v>
      </c>
      <c r="L64" s="2">
        <v>7973008988</v>
      </c>
      <c r="M64" s="2" t="s">
        <v>428</v>
      </c>
      <c r="N64" s="2" t="s">
        <v>99</v>
      </c>
      <c r="O64" s="2">
        <v>11358</v>
      </c>
      <c r="P64" s="2" t="s">
        <v>61</v>
      </c>
      <c r="Q64" s="3">
        <v>0.83</v>
      </c>
      <c r="R64" s="2" t="s">
        <v>429</v>
      </c>
    </row>
    <row r="65" spans="1:18" ht="15" customHeight="1" x14ac:dyDescent="0.25">
      <c r="A65" s="2">
        <v>64</v>
      </c>
      <c r="B65" s="2" t="s">
        <v>430</v>
      </c>
      <c r="C65" s="2" t="s">
        <v>19</v>
      </c>
      <c r="D65" s="2" t="s">
        <v>431</v>
      </c>
      <c r="E65" s="2" t="s">
        <v>33</v>
      </c>
      <c r="F65" s="2" t="s">
        <v>22</v>
      </c>
      <c r="G65" s="2" t="s">
        <v>35</v>
      </c>
      <c r="H65" s="2" t="s">
        <v>432</v>
      </c>
      <c r="I65" s="2">
        <v>8948239575</v>
      </c>
      <c r="J65" s="2" t="s">
        <v>433</v>
      </c>
      <c r="K65" s="2" t="s">
        <v>434</v>
      </c>
      <c r="L65" s="2">
        <v>7732276010</v>
      </c>
      <c r="M65" s="2" t="s">
        <v>435</v>
      </c>
      <c r="N65" s="2" t="s">
        <v>215</v>
      </c>
      <c r="O65" s="2">
        <v>5042</v>
      </c>
      <c r="P65" s="2" t="s">
        <v>41</v>
      </c>
      <c r="Q65" s="3">
        <v>0.97</v>
      </c>
      <c r="R65" s="2" t="s">
        <v>436</v>
      </c>
    </row>
    <row r="66" spans="1:18" ht="15" customHeight="1" x14ac:dyDescent="0.25">
      <c r="A66" s="2">
        <v>65</v>
      </c>
      <c r="B66" s="2" t="s">
        <v>437</v>
      </c>
      <c r="C66" s="2" t="s">
        <v>19</v>
      </c>
      <c r="D66" s="2" t="s">
        <v>178</v>
      </c>
      <c r="E66" s="2" t="s">
        <v>21</v>
      </c>
      <c r="F66" s="2" t="s">
        <v>34</v>
      </c>
      <c r="G66" s="2" t="s">
        <v>156</v>
      </c>
      <c r="H66" s="2" t="s">
        <v>438</v>
      </c>
      <c r="I66" s="2">
        <v>7760465943</v>
      </c>
      <c r="J66" s="2" t="s">
        <v>439</v>
      </c>
      <c r="K66" s="2" t="s">
        <v>440</v>
      </c>
      <c r="L66" s="2">
        <v>6880871219</v>
      </c>
      <c r="M66" s="2" t="s">
        <v>441</v>
      </c>
      <c r="N66" s="2" t="s">
        <v>161</v>
      </c>
      <c r="O66" s="2">
        <v>7397</v>
      </c>
      <c r="P66" s="2" t="s">
        <v>139</v>
      </c>
      <c r="Q66" s="3">
        <v>0.6</v>
      </c>
      <c r="R66" s="2" t="s">
        <v>442</v>
      </c>
    </row>
    <row r="67" spans="1:18" ht="15" customHeight="1" x14ac:dyDescent="0.25">
      <c r="A67" s="2">
        <v>66</v>
      </c>
      <c r="B67" s="2" t="s">
        <v>443</v>
      </c>
      <c r="C67" s="2" t="s">
        <v>19</v>
      </c>
      <c r="D67" s="2" t="s">
        <v>223</v>
      </c>
      <c r="E67" s="2" t="s">
        <v>33</v>
      </c>
      <c r="F67" s="2" t="s">
        <v>22</v>
      </c>
      <c r="G67" s="2" t="s">
        <v>156</v>
      </c>
      <c r="H67" s="2" t="s">
        <v>444</v>
      </c>
      <c r="I67" s="2">
        <v>6235497187</v>
      </c>
      <c r="J67" s="2" t="s">
        <v>286</v>
      </c>
      <c r="K67" s="2" t="s">
        <v>409</v>
      </c>
      <c r="L67" s="2">
        <v>8770355806</v>
      </c>
      <c r="M67" s="2" t="s">
        <v>410</v>
      </c>
      <c r="N67" s="2" t="s">
        <v>271</v>
      </c>
      <c r="O67" s="2">
        <v>8347</v>
      </c>
      <c r="P67" s="2" t="s">
        <v>41</v>
      </c>
      <c r="Q67" s="3">
        <v>0.72</v>
      </c>
      <c r="R67" s="2" t="s">
        <v>445</v>
      </c>
    </row>
    <row r="68" spans="1:18" ht="15" customHeight="1" x14ac:dyDescent="0.25">
      <c r="A68" s="2">
        <v>67</v>
      </c>
      <c r="B68" s="2" t="s">
        <v>446</v>
      </c>
      <c r="C68" s="2" t="s">
        <v>19</v>
      </c>
      <c r="D68" s="2" t="s">
        <v>149</v>
      </c>
      <c r="E68" s="2" t="s">
        <v>55</v>
      </c>
      <c r="F68" s="2" t="s">
        <v>22</v>
      </c>
      <c r="G68" s="2" t="s">
        <v>45</v>
      </c>
      <c r="H68" s="2" t="s">
        <v>81</v>
      </c>
      <c r="I68" s="2">
        <v>9463925049</v>
      </c>
      <c r="J68" s="2" t="s">
        <v>447</v>
      </c>
      <c r="K68" s="2" t="s">
        <v>448</v>
      </c>
      <c r="L68" s="2">
        <v>9528133274</v>
      </c>
      <c r="M68" s="2" t="s">
        <v>449</v>
      </c>
      <c r="N68" s="2" t="s">
        <v>202</v>
      </c>
      <c r="O68" s="2">
        <v>7933</v>
      </c>
      <c r="P68" s="2" t="s">
        <v>139</v>
      </c>
      <c r="Q68" s="3">
        <v>0.81</v>
      </c>
      <c r="R68" s="2" t="s">
        <v>450</v>
      </c>
    </row>
    <row r="69" spans="1:18" ht="15" customHeight="1" x14ac:dyDescent="0.25">
      <c r="A69" s="2">
        <v>68</v>
      </c>
      <c r="B69" s="2" t="s">
        <v>451</v>
      </c>
      <c r="C69" s="2" t="s">
        <v>19</v>
      </c>
      <c r="D69" s="2" t="s">
        <v>80</v>
      </c>
      <c r="E69" s="2" t="s">
        <v>55</v>
      </c>
      <c r="F69" s="2" t="s">
        <v>34</v>
      </c>
      <c r="G69" s="2" t="s">
        <v>45</v>
      </c>
      <c r="H69" s="2" t="s">
        <v>452</v>
      </c>
      <c r="I69" s="2">
        <v>8971630639</v>
      </c>
      <c r="J69" s="2" t="s">
        <v>453</v>
      </c>
      <c r="K69" s="2" t="s">
        <v>454</v>
      </c>
      <c r="L69" s="2">
        <v>7697398528</v>
      </c>
      <c r="M69" s="2" t="s">
        <v>455</v>
      </c>
      <c r="N69" s="2" t="s">
        <v>146</v>
      </c>
      <c r="O69" s="2">
        <v>11397</v>
      </c>
      <c r="P69" s="2" t="s">
        <v>70</v>
      </c>
      <c r="Q69" s="3">
        <v>0.71</v>
      </c>
      <c r="R69" s="2" t="s">
        <v>456</v>
      </c>
    </row>
    <row r="70" spans="1:18" ht="15" customHeight="1" x14ac:dyDescent="0.25">
      <c r="A70" s="2">
        <v>69</v>
      </c>
      <c r="B70" s="2" t="s">
        <v>457</v>
      </c>
      <c r="C70" s="2" t="s">
        <v>19</v>
      </c>
      <c r="D70" s="2" t="s">
        <v>32</v>
      </c>
      <c r="E70" s="2" t="s">
        <v>55</v>
      </c>
      <c r="F70" s="2" t="s">
        <v>22</v>
      </c>
      <c r="G70" s="2" t="s">
        <v>156</v>
      </c>
      <c r="H70" s="2" t="s">
        <v>458</v>
      </c>
      <c r="I70" s="2">
        <v>7266140258</v>
      </c>
      <c r="J70" s="2" t="s">
        <v>459</v>
      </c>
      <c r="K70" s="2" t="s">
        <v>460</v>
      </c>
      <c r="L70" s="2">
        <v>9340781088</v>
      </c>
      <c r="M70" s="2" t="s">
        <v>461</v>
      </c>
      <c r="N70" s="2" t="s">
        <v>462</v>
      </c>
      <c r="O70" s="2">
        <v>6293</v>
      </c>
      <c r="P70" s="2" t="s">
        <v>41</v>
      </c>
      <c r="Q70" s="3">
        <v>0.84</v>
      </c>
      <c r="R70" s="2" t="s">
        <v>92</v>
      </c>
    </row>
    <row r="71" spans="1:18" ht="15" customHeight="1" x14ac:dyDescent="0.25">
      <c r="A71" s="2">
        <v>70</v>
      </c>
      <c r="B71" s="2" t="s">
        <v>463</v>
      </c>
      <c r="C71" s="2" t="s">
        <v>19</v>
      </c>
      <c r="D71" s="2" t="s">
        <v>32</v>
      </c>
      <c r="E71" s="2" t="s">
        <v>33</v>
      </c>
      <c r="F71" s="2" t="s">
        <v>34</v>
      </c>
      <c r="G71" s="2" t="s">
        <v>102</v>
      </c>
      <c r="H71" s="2" t="s">
        <v>464</v>
      </c>
      <c r="I71" s="2">
        <v>6294782734</v>
      </c>
      <c r="J71" s="2" t="s">
        <v>465</v>
      </c>
      <c r="K71" s="2" t="s">
        <v>466</v>
      </c>
      <c r="L71" s="2">
        <v>7708082645</v>
      </c>
      <c r="M71" s="2" t="s">
        <v>467</v>
      </c>
      <c r="N71" s="2" t="s">
        <v>28</v>
      </c>
      <c r="O71" s="2">
        <v>7530</v>
      </c>
      <c r="P71" s="2" t="s">
        <v>41</v>
      </c>
      <c r="Q71" s="3">
        <v>0.79</v>
      </c>
      <c r="R71" s="2" t="s">
        <v>132</v>
      </c>
    </row>
    <row r="72" spans="1:18" ht="15" customHeight="1" x14ac:dyDescent="0.25">
      <c r="A72" s="2">
        <v>71</v>
      </c>
      <c r="B72" s="2" t="s">
        <v>468</v>
      </c>
      <c r="C72" s="2" t="s">
        <v>19</v>
      </c>
      <c r="D72" s="2" t="s">
        <v>303</v>
      </c>
      <c r="E72" s="2" t="s">
        <v>55</v>
      </c>
      <c r="F72" s="2" t="s">
        <v>22</v>
      </c>
      <c r="G72" s="2" t="s">
        <v>156</v>
      </c>
      <c r="H72" s="2" t="s">
        <v>469</v>
      </c>
      <c r="I72" s="2">
        <v>6156488296</v>
      </c>
      <c r="J72" s="2" t="s">
        <v>470</v>
      </c>
      <c r="K72" s="2" t="s">
        <v>471</v>
      </c>
      <c r="L72" s="2">
        <v>7269017588</v>
      </c>
      <c r="M72" s="2" t="s">
        <v>472</v>
      </c>
      <c r="N72" s="2" t="s">
        <v>99</v>
      </c>
      <c r="O72" s="2">
        <v>9191</v>
      </c>
      <c r="P72" s="2" t="s">
        <v>61</v>
      </c>
      <c r="Q72" s="3">
        <v>0.71</v>
      </c>
      <c r="R72" s="2" t="s">
        <v>368</v>
      </c>
    </row>
    <row r="73" spans="1:18" ht="15" customHeight="1" x14ac:dyDescent="0.25">
      <c r="A73" s="2">
        <v>72</v>
      </c>
      <c r="B73" s="2" t="s">
        <v>473</v>
      </c>
      <c r="C73" s="2" t="s">
        <v>19</v>
      </c>
      <c r="D73" s="2" t="s">
        <v>87</v>
      </c>
      <c r="E73" s="2" t="s">
        <v>33</v>
      </c>
      <c r="F73" s="2" t="s">
        <v>22</v>
      </c>
      <c r="G73" s="2" t="s">
        <v>45</v>
      </c>
      <c r="H73" s="2" t="s">
        <v>474</v>
      </c>
      <c r="I73" s="2">
        <v>8148766522</v>
      </c>
      <c r="J73" s="2" t="s">
        <v>475</v>
      </c>
      <c r="K73" s="2" t="s">
        <v>476</v>
      </c>
      <c r="L73" s="2">
        <v>7524410834</v>
      </c>
      <c r="M73" s="2" t="s">
        <v>477</v>
      </c>
      <c r="N73" s="2" t="s">
        <v>84</v>
      </c>
      <c r="O73" s="2">
        <v>7285</v>
      </c>
      <c r="P73" s="2" t="s">
        <v>70</v>
      </c>
      <c r="Q73" s="3">
        <v>0.64</v>
      </c>
      <c r="R73" s="2" t="s">
        <v>85</v>
      </c>
    </row>
    <row r="74" spans="1:18" ht="15" customHeight="1" x14ac:dyDescent="0.25">
      <c r="A74" s="2">
        <v>73</v>
      </c>
      <c r="B74" s="2" t="s">
        <v>478</v>
      </c>
      <c r="C74" s="2" t="s">
        <v>19</v>
      </c>
      <c r="D74" s="2" t="s">
        <v>185</v>
      </c>
      <c r="E74" s="2" t="s">
        <v>33</v>
      </c>
      <c r="F74" s="2" t="s">
        <v>22</v>
      </c>
      <c r="G74" s="2" t="s">
        <v>23</v>
      </c>
      <c r="H74" s="2" t="s">
        <v>479</v>
      </c>
      <c r="I74" s="2">
        <v>8177390472</v>
      </c>
      <c r="J74" s="2" t="s">
        <v>480</v>
      </c>
      <c r="K74" s="2" t="s">
        <v>481</v>
      </c>
      <c r="L74" s="2">
        <v>9896760809</v>
      </c>
      <c r="M74" s="2" t="s">
        <v>482</v>
      </c>
      <c r="N74" s="2" t="s">
        <v>40</v>
      </c>
      <c r="O74" s="2">
        <v>5242</v>
      </c>
      <c r="P74" s="2" t="s">
        <v>70</v>
      </c>
      <c r="Q74" s="3">
        <v>0.6</v>
      </c>
      <c r="R74" s="2" t="s">
        <v>92</v>
      </c>
    </row>
    <row r="75" spans="1:18" ht="15" customHeight="1" x14ac:dyDescent="0.25">
      <c r="A75" s="2">
        <v>74</v>
      </c>
      <c r="B75" s="2" t="s">
        <v>483</v>
      </c>
      <c r="C75" s="2" t="s">
        <v>19</v>
      </c>
      <c r="D75" s="2" t="s">
        <v>164</v>
      </c>
      <c r="E75" s="2" t="s">
        <v>33</v>
      </c>
      <c r="F75" s="2" t="s">
        <v>22</v>
      </c>
      <c r="G75" s="2" t="s">
        <v>102</v>
      </c>
      <c r="H75" s="2" t="s">
        <v>484</v>
      </c>
      <c r="I75" s="2">
        <v>9993381017</v>
      </c>
      <c r="J75" s="2" t="s">
        <v>485</v>
      </c>
      <c r="K75" s="2" t="s">
        <v>486</v>
      </c>
      <c r="L75" s="2">
        <v>8194628740</v>
      </c>
      <c r="M75" s="2" t="s">
        <v>487</v>
      </c>
      <c r="N75" s="2" t="s">
        <v>462</v>
      </c>
      <c r="O75" s="2">
        <v>9894</v>
      </c>
      <c r="P75" s="2" t="s">
        <v>77</v>
      </c>
      <c r="Q75" s="3">
        <v>0.86</v>
      </c>
      <c r="R75" s="2" t="s">
        <v>78</v>
      </c>
    </row>
    <row r="76" spans="1:18" ht="15" customHeight="1" x14ac:dyDescent="0.25">
      <c r="A76" s="2">
        <v>75</v>
      </c>
      <c r="B76" s="2" t="s">
        <v>488</v>
      </c>
      <c r="C76" s="2" t="s">
        <v>19</v>
      </c>
      <c r="D76" s="2" t="s">
        <v>431</v>
      </c>
      <c r="E76" s="2" t="s">
        <v>33</v>
      </c>
      <c r="F76" s="2" t="s">
        <v>22</v>
      </c>
      <c r="G76" s="2" t="s">
        <v>35</v>
      </c>
      <c r="H76" s="2" t="s">
        <v>489</v>
      </c>
      <c r="I76" s="2">
        <v>7933468715</v>
      </c>
      <c r="J76" s="2" t="s">
        <v>490</v>
      </c>
      <c r="K76" s="2" t="s">
        <v>491</v>
      </c>
      <c r="L76" s="2">
        <v>8476990466</v>
      </c>
      <c r="M76" s="2" t="s">
        <v>492</v>
      </c>
      <c r="N76" s="2" t="s">
        <v>99</v>
      </c>
      <c r="O76" s="2">
        <v>6984</v>
      </c>
      <c r="P76" s="2" t="s">
        <v>41</v>
      </c>
      <c r="Q76" s="3">
        <v>0.68</v>
      </c>
      <c r="R76" s="2" t="s">
        <v>387</v>
      </c>
    </row>
    <row r="77" spans="1:18" ht="15" customHeight="1" x14ac:dyDescent="0.25">
      <c r="A77" s="2">
        <v>76</v>
      </c>
      <c r="B77" s="2" t="s">
        <v>493</v>
      </c>
      <c r="C77" s="2" t="s">
        <v>19</v>
      </c>
      <c r="D77" s="2" t="s">
        <v>20</v>
      </c>
      <c r="E77" s="2" t="s">
        <v>21</v>
      </c>
      <c r="F77" s="2" t="s">
        <v>34</v>
      </c>
      <c r="G77" s="2" t="s">
        <v>23</v>
      </c>
      <c r="H77" s="2" t="s">
        <v>494</v>
      </c>
      <c r="I77" s="2">
        <v>9173321814</v>
      </c>
      <c r="J77" s="2" t="s">
        <v>495</v>
      </c>
      <c r="K77" s="2" t="s">
        <v>496</v>
      </c>
      <c r="L77" s="2">
        <v>9574817290</v>
      </c>
      <c r="M77" s="2" t="s">
        <v>497</v>
      </c>
      <c r="N77" s="2" t="s">
        <v>161</v>
      </c>
      <c r="O77" s="2">
        <v>11239</v>
      </c>
      <c r="P77" s="2" t="s">
        <v>51</v>
      </c>
      <c r="Q77" s="3">
        <v>0.63</v>
      </c>
      <c r="R77" s="2" t="s">
        <v>169</v>
      </c>
    </row>
    <row r="78" spans="1:18" ht="15" customHeight="1" x14ac:dyDescent="0.25">
      <c r="A78" s="2">
        <v>77</v>
      </c>
      <c r="B78" s="2" t="s">
        <v>498</v>
      </c>
      <c r="C78" s="2" t="s">
        <v>19</v>
      </c>
      <c r="D78" s="2" t="s">
        <v>149</v>
      </c>
      <c r="E78" s="2" t="s">
        <v>21</v>
      </c>
      <c r="F78" s="2" t="s">
        <v>22</v>
      </c>
      <c r="G78" s="2" t="s">
        <v>156</v>
      </c>
      <c r="H78" s="2" t="s">
        <v>499</v>
      </c>
      <c r="I78" s="2">
        <v>6582897882</v>
      </c>
      <c r="J78" s="2" t="s">
        <v>500</v>
      </c>
      <c r="K78" s="2" t="s">
        <v>501</v>
      </c>
      <c r="L78" s="2">
        <v>7445236735</v>
      </c>
      <c r="M78" s="2" t="s">
        <v>502</v>
      </c>
      <c r="N78" s="2" t="s">
        <v>202</v>
      </c>
      <c r="O78" s="2">
        <v>8065</v>
      </c>
      <c r="P78" s="2" t="s">
        <v>77</v>
      </c>
      <c r="Q78" s="3">
        <v>0.56999999999999995</v>
      </c>
      <c r="R78" s="2" t="s">
        <v>295</v>
      </c>
    </row>
    <row r="79" spans="1:18" ht="15" customHeight="1" x14ac:dyDescent="0.25">
      <c r="A79" s="2">
        <v>78</v>
      </c>
      <c r="B79" s="2" t="s">
        <v>503</v>
      </c>
      <c r="C79" s="2" t="s">
        <v>19</v>
      </c>
      <c r="D79" s="2" t="s">
        <v>303</v>
      </c>
      <c r="E79" s="2" t="s">
        <v>21</v>
      </c>
      <c r="F79" s="2" t="s">
        <v>22</v>
      </c>
      <c r="G79" s="2" t="s">
        <v>102</v>
      </c>
      <c r="H79" s="2" t="s">
        <v>504</v>
      </c>
      <c r="I79" s="2">
        <v>8515985367</v>
      </c>
      <c r="J79" s="2" t="s">
        <v>505</v>
      </c>
      <c r="K79" s="2" t="s">
        <v>506</v>
      </c>
      <c r="L79" s="2">
        <v>9931575232</v>
      </c>
      <c r="M79" s="2" t="s">
        <v>507</v>
      </c>
      <c r="N79" s="2" t="s">
        <v>99</v>
      </c>
      <c r="O79" s="2">
        <v>8766</v>
      </c>
      <c r="P79" s="2" t="s">
        <v>29</v>
      </c>
      <c r="Q79" s="3">
        <v>0.62</v>
      </c>
      <c r="R79" s="2" t="s">
        <v>417</v>
      </c>
    </row>
    <row r="80" spans="1:18" ht="15" customHeight="1" x14ac:dyDescent="0.25">
      <c r="A80" s="2">
        <v>79</v>
      </c>
      <c r="B80" s="2" t="s">
        <v>508</v>
      </c>
      <c r="C80" s="2" t="s">
        <v>19</v>
      </c>
      <c r="D80" s="2" t="s">
        <v>127</v>
      </c>
      <c r="E80" s="2" t="s">
        <v>55</v>
      </c>
      <c r="F80" s="2" t="s">
        <v>22</v>
      </c>
      <c r="G80" s="2" t="s">
        <v>156</v>
      </c>
      <c r="H80" s="2" t="s">
        <v>509</v>
      </c>
      <c r="I80" s="2">
        <v>7475617211</v>
      </c>
      <c r="J80" s="2" t="s">
        <v>510</v>
      </c>
      <c r="K80" s="2" t="s">
        <v>511</v>
      </c>
      <c r="L80" s="2">
        <v>8804433388</v>
      </c>
      <c r="M80" s="2" t="s">
        <v>512</v>
      </c>
      <c r="N80" s="2" t="s">
        <v>146</v>
      </c>
      <c r="O80" s="2">
        <v>2048</v>
      </c>
      <c r="P80" s="2" t="s">
        <v>139</v>
      </c>
      <c r="Q80" s="3">
        <v>0.84</v>
      </c>
      <c r="R80" s="2" t="s">
        <v>324</v>
      </c>
    </row>
    <row r="81" spans="1:18" ht="15" customHeight="1" x14ac:dyDescent="0.25">
      <c r="A81" s="2">
        <v>80</v>
      </c>
      <c r="B81" s="2" t="s">
        <v>513</v>
      </c>
      <c r="C81" s="2" t="s">
        <v>19</v>
      </c>
      <c r="D81" s="2" t="s">
        <v>44</v>
      </c>
      <c r="E81" s="2" t="s">
        <v>55</v>
      </c>
      <c r="F81" s="2" t="s">
        <v>22</v>
      </c>
      <c r="G81" s="2" t="s">
        <v>102</v>
      </c>
      <c r="H81" s="2" t="s">
        <v>514</v>
      </c>
      <c r="I81" s="2">
        <v>6489336282</v>
      </c>
      <c r="J81" s="2" t="s">
        <v>515</v>
      </c>
      <c r="K81" s="2" t="s">
        <v>516</v>
      </c>
      <c r="L81" s="2">
        <v>8293555835</v>
      </c>
      <c r="M81" s="2" t="s">
        <v>517</v>
      </c>
      <c r="N81" s="2" t="s">
        <v>107</v>
      </c>
      <c r="O81" s="2">
        <v>11042</v>
      </c>
      <c r="P81" s="2" t="s">
        <v>41</v>
      </c>
      <c r="Q81" s="3">
        <v>0.69</v>
      </c>
      <c r="R81" s="2" t="s">
        <v>364</v>
      </c>
    </row>
    <row r="82" spans="1:18" ht="15" customHeight="1" x14ac:dyDescent="0.25">
      <c r="A82" s="2">
        <v>81</v>
      </c>
      <c r="B82" s="2" t="s">
        <v>518</v>
      </c>
      <c r="C82" s="2" t="s">
        <v>19</v>
      </c>
      <c r="D82" s="2" t="s">
        <v>242</v>
      </c>
      <c r="E82" s="2" t="s">
        <v>21</v>
      </c>
      <c r="F82" s="2" t="s">
        <v>34</v>
      </c>
      <c r="G82" s="2" t="s">
        <v>23</v>
      </c>
      <c r="H82" s="2" t="s">
        <v>519</v>
      </c>
      <c r="I82" s="2">
        <v>7741288486</v>
      </c>
      <c r="J82" s="2" t="s">
        <v>520</v>
      </c>
      <c r="K82" s="2" t="s">
        <v>521</v>
      </c>
      <c r="L82" s="2">
        <v>9265627642</v>
      </c>
      <c r="M82" s="2" t="s">
        <v>522</v>
      </c>
      <c r="N82" s="2" t="s">
        <v>161</v>
      </c>
      <c r="O82" s="2">
        <v>1764</v>
      </c>
      <c r="P82" s="2" t="s">
        <v>70</v>
      </c>
      <c r="Q82" s="3">
        <v>0.91</v>
      </c>
      <c r="R82" s="2" t="s">
        <v>228</v>
      </c>
    </row>
    <row r="83" spans="1:18" ht="15" customHeight="1" x14ac:dyDescent="0.25">
      <c r="A83" s="2">
        <v>82</v>
      </c>
      <c r="B83" s="2" t="s">
        <v>523</v>
      </c>
      <c r="C83" s="2" t="s">
        <v>19</v>
      </c>
      <c r="D83" s="2" t="s">
        <v>44</v>
      </c>
      <c r="E83" s="2" t="s">
        <v>21</v>
      </c>
      <c r="F83" s="2" t="s">
        <v>22</v>
      </c>
      <c r="G83" s="2" t="s">
        <v>156</v>
      </c>
      <c r="H83" s="2" t="s">
        <v>524</v>
      </c>
      <c r="I83" s="2">
        <v>7494966219</v>
      </c>
      <c r="J83" s="2" t="s">
        <v>525</v>
      </c>
      <c r="K83" s="2" t="s">
        <v>526</v>
      </c>
      <c r="L83" s="2">
        <v>9595725097</v>
      </c>
      <c r="M83" s="2" t="s">
        <v>527</v>
      </c>
      <c r="N83" s="2" t="s">
        <v>462</v>
      </c>
      <c r="O83" s="2">
        <v>6468</v>
      </c>
      <c r="P83" s="2" t="s">
        <v>29</v>
      </c>
      <c r="Q83" s="3">
        <v>0.86</v>
      </c>
      <c r="R83" s="2" t="s">
        <v>183</v>
      </c>
    </row>
    <row r="84" spans="1:18" ht="15" customHeight="1" x14ac:dyDescent="0.25">
      <c r="A84" s="2">
        <v>83</v>
      </c>
      <c r="B84" s="2" t="s">
        <v>528</v>
      </c>
      <c r="C84" s="2" t="s">
        <v>19</v>
      </c>
      <c r="D84" s="2" t="s">
        <v>223</v>
      </c>
      <c r="E84" s="2" t="s">
        <v>55</v>
      </c>
      <c r="F84" s="2" t="s">
        <v>22</v>
      </c>
      <c r="G84" s="2" t="s">
        <v>23</v>
      </c>
      <c r="H84" s="2" t="s">
        <v>529</v>
      </c>
      <c r="I84" s="2">
        <v>6919390458</v>
      </c>
      <c r="J84" s="2" t="s">
        <v>530</v>
      </c>
      <c r="K84" s="2" t="s">
        <v>531</v>
      </c>
      <c r="L84" s="2">
        <v>7392907427</v>
      </c>
      <c r="M84" s="2" t="s">
        <v>532</v>
      </c>
      <c r="N84" s="2" t="s">
        <v>195</v>
      </c>
      <c r="O84" s="2">
        <v>10406</v>
      </c>
      <c r="P84" s="2" t="s">
        <v>61</v>
      </c>
      <c r="Q84" s="3">
        <v>0.93</v>
      </c>
      <c r="R84" s="2" t="s">
        <v>283</v>
      </c>
    </row>
    <row r="85" spans="1:18" ht="15" customHeight="1" x14ac:dyDescent="0.25">
      <c r="A85" s="2">
        <v>84</v>
      </c>
      <c r="B85" s="2" t="s">
        <v>533</v>
      </c>
      <c r="C85" s="2" t="s">
        <v>19</v>
      </c>
      <c r="D85" s="2" t="s">
        <v>303</v>
      </c>
      <c r="E85" s="2" t="s">
        <v>33</v>
      </c>
      <c r="F85" s="2" t="s">
        <v>34</v>
      </c>
      <c r="G85" s="2" t="s">
        <v>23</v>
      </c>
      <c r="H85" s="2" t="s">
        <v>534</v>
      </c>
      <c r="I85" s="2">
        <v>6442185272</v>
      </c>
      <c r="J85" s="2" t="s">
        <v>535</v>
      </c>
      <c r="K85" s="2" t="s">
        <v>536</v>
      </c>
      <c r="L85" s="2">
        <v>6867407868</v>
      </c>
      <c r="M85" s="2" t="s">
        <v>537</v>
      </c>
      <c r="N85" s="2" t="s">
        <v>84</v>
      </c>
      <c r="O85" s="2">
        <v>6227</v>
      </c>
      <c r="P85" s="2" t="s">
        <v>51</v>
      </c>
      <c r="Q85" s="3">
        <v>0.73</v>
      </c>
      <c r="R85" s="2" t="s">
        <v>399</v>
      </c>
    </row>
    <row r="86" spans="1:18" ht="15" customHeight="1" x14ac:dyDescent="0.25">
      <c r="A86" s="2">
        <v>85</v>
      </c>
      <c r="B86" s="2" t="s">
        <v>538</v>
      </c>
      <c r="C86" s="2" t="s">
        <v>19</v>
      </c>
      <c r="D86" s="2" t="s">
        <v>303</v>
      </c>
      <c r="E86" s="2" t="s">
        <v>21</v>
      </c>
      <c r="F86" s="2" t="s">
        <v>22</v>
      </c>
      <c r="G86" s="2" t="s">
        <v>45</v>
      </c>
      <c r="H86" s="2" t="s">
        <v>539</v>
      </c>
      <c r="I86" s="2">
        <v>8355164255</v>
      </c>
      <c r="J86" s="2" t="s">
        <v>540</v>
      </c>
      <c r="K86" s="2" t="s">
        <v>541</v>
      </c>
      <c r="L86" s="2">
        <v>8230833665</v>
      </c>
      <c r="M86" s="2" t="s">
        <v>542</v>
      </c>
      <c r="N86" s="2" t="s">
        <v>161</v>
      </c>
      <c r="O86" s="2">
        <v>8185</v>
      </c>
      <c r="P86" s="2" t="s">
        <v>77</v>
      </c>
      <c r="Q86" s="3">
        <v>0.81</v>
      </c>
      <c r="R86" s="2" t="s">
        <v>318</v>
      </c>
    </row>
    <row r="87" spans="1:18" ht="15" customHeight="1" x14ac:dyDescent="0.25">
      <c r="A87" s="2">
        <v>86</v>
      </c>
      <c r="B87" s="2" t="s">
        <v>543</v>
      </c>
      <c r="C87" s="2" t="s">
        <v>19</v>
      </c>
      <c r="D87" s="2" t="s">
        <v>80</v>
      </c>
      <c r="E87" s="2" t="s">
        <v>55</v>
      </c>
      <c r="F87" s="2" t="s">
        <v>22</v>
      </c>
      <c r="G87" s="2" t="s">
        <v>45</v>
      </c>
      <c r="H87" s="2" t="s">
        <v>544</v>
      </c>
      <c r="I87" s="2">
        <v>6760146764</v>
      </c>
      <c r="J87" s="2" t="s">
        <v>545</v>
      </c>
      <c r="K87" s="2" t="s">
        <v>546</v>
      </c>
      <c r="L87" s="2">
        <v>8358303887</v>
      </c>
      <c r="M87" s="2" t="s">
        <v>547</v>
      </c>
      <c r="N87" s="2" t="s">
        <v>99</v>
      </c>
      <c r="O87" s="2">
        <v>2316</v>
      </c>
      <c r="P87" s="2" t="s">
        <v>41</v>
      </c>
      <c r="Q87" s="3">
        <v>0.94</v>
      </c>
      <c r="R87" s="2" t="s">
        <v>85</v>
      </c>
    </row>
    <row r="88" spans="1:18" ht="15" customHeight="1" x14ac:dyDescent="0.25">
      <c r="A88" s="2">
        <v>87</v>
      </c>
      <c r="B88" s="2" t="s">
        <v>548</v>
      </c>
      <c r="C88" s="2" t="s">
        <v>19</v>
      </c>
      <c r="D88" s="2" t="s">
        <v>110</v>
      </c>
      <c r="E88" s="2" t="s">
        <v>55</v>
      </c>
      <c r="F88" s="2" t="s">
        <v>22</v>
      </c>
      <c r="G88" s="2" t="s">
        <v>156</v>
      </c>
      <c r="H88" s="2" t="s">
        <v>549</v>
      </c>
      <c r="I88" s="2">
        <v>7886989426</v>
      </c>
      <c r="J88" s="2" t="s">
        <v>550</v>
      </c>
      <c r="K88" s="2" t="s">
        <v>551</v>
      </c>
      <c r="L88" s="2">
        <v>6928393291</v>
      </c>
      <c r="M88" s="2" t="s">
        <v>552</v>
      </c>
      <c r="N88" s="2" t="s">
        <v>215</v>
      </c>
      <c r="O88" s="2">
        <v>6897</v>
      </c>
      <c r="P88" s="2" t="s">
        <v>41</v>
      </c>
      <c r="Q88" s="3">
        <v>0.75</v>
      </c>
      <c r="R88" s="2" t="s">
        <v>147</v>
      </c>
    </row>
    <row r="89" spans="1:18" ht="15" customHeight="1" x14ac:dyDescent="0.25">
      <c r="A89" s="2">
        <v>88</v>
      </c>
      <c r="B89" s="2" t="s">
        <v>538</v>
      </c>
      <c r="C89" s="2" t="s">
        <v>19</v>
      </c>
      <c r="D89" s="2" t="s">
        <v>127</v>
      </c>
      <c r="E89" s="2" t="s">
        <v>33</v>
      </c>
      <c r="F89" s="2" t="s">
        <v>22</v>
      </c>
      <c r="G89" s="2" t="s">
        <v>23</v>
      </c>
      <c r="H89" s="2" t="s">
        <v>553</v>
      </c>
      <c r="I89" s="2">
        <v>6438868427</v>
      </c>
      <c r="J89" s="2" t="s">
        <v>554</v>
      </c>
      <c r="K89" s="2" t="s">
        <v>555</v>
      </c>
      <c r="L89" s="2">
        <v>8653388913</v>
      </c>
      <c r="M89" s="2" t="s">
        <v>556</v>
      </c>
      <c r="N89" s="2" t="s">
        <v>84</v>
      </c>
      <c r="O89" s="2">
        <v>11893</v>
      </c>
      <c r="P89" s="2" t="s">
        <v>77</v>
      </c>
      <c r="Q89" s="3">
        <v>0.82</v>
      </c>
      <c r="R89" s="2" t="s">
        <v>318</v>
      </c>
    </row>
    <row r="90" spans="1:18" ht="15" customHeight="1" x14ac:dyDescent="0.25">
      <c r="A90" s="2">
        <v>89</v>
      </c>
      <c r="B90" s="2" t="s">
        <v>557</v>
      </c>
      <c r="C90" s="2" t="s">
        <v>19</v>
      </c>
      <c r="D90" s="2" t="s">
        <v>242</v>
      </c>
      <c r="E90" s="2" t="s">
        <v>33</v>
      </c>
      <c r="F90" s="2" t="s">
        <v>34</v>
      </c>
      <c r="G90" s="2" t="s">
        <v>23</v>
      </c>
      <c r="H90" s="2" t="s">
        <v>558</v>
      </c>
      <c r="I90" s="2">
        <v>8300593456</v>
      </c>
      <c r="J90" s="2" t="s">
        <v>559</v>
      </c>
      <c r="K90" s="2" t="s">
        <v>560</v>
      </c>
      <c r="L90" s="2">
        <v>9843102880</v>
      </c>
      <c r="M90" s="2" t="s">
        <v>561</v>
      </c>
      <c r="N90" s="2" t="s">
        <v>202</v>
      </c>
      <c r="O90" s="2">
        <v>6348</v>
      </c>
      <c r="P90" s="2" t="s">
        <v>41</v>
      </c>
      <c r="Q90" s="3">
        <v>0.89</v>
      </c>
      <c r="R90" s="2" t="s">
        <v>364</v>
      </c>
    </row>
    <row r="91" spans="1:18" ht="15" customHeight="1" x14ac:dyDescent="0.25">
      <c r="A91" s="2">
        <v>90</v>
      </c>
      <c r="B91" s="2" t="s">
        <v>562</v>
      </c>
      <c r="C91" s="2" t="s">
        <v>19</v>
      </c>
      <c r="D91" s="2" t="s">
        <v>223</v>
      </c>
      <c r="E91" s="2" t="s">
        <v>33</v>
      </c>
      <c r="F91" s="2" t="s">
        <v>22</v>
      </c>
      <c r="G91" s="2" t="s">
        <v>45</v>
      </c>
      <c r="H91" s="2" t="s">
        <v>563</v>
      </c>
      <c r="I91" s="2">
        <v>8429097422</v>
      </c>
      <c r="J91" s="2" t="s">
        <v>564</v>
      </c>
      <c r="K91" s="2" t="s">
        <v>565</v>
      </c>
      <c r="L91" s="2">
        <v>9747060047</v>
      </c>
      <c r="M91" s="2" t="s">
        <v>566</v>
      </c>
      <c r="N91" s="2" t="s">
        <v>99</v>
      </c>
      <c r="O91" s="2">
        <v>7555</v>
      </c>
      <c r="P91" s="2" t="s">
        <v>139</v>
      </c>
      <c r="Q91" s="3">
        <v>0.98</v>
      </c>
      <c r="R91" s="2" t="s">
        <v>436</v>
      </c>
    </row>
    <row r="92" spans="1:18" ht="15" customHeight="1" x14ac:dyDescent="0.25">
      <c r="A92" s="2">
        <v>91</v>
      </c>
      <c r="B92" s="2" t="s">
        <v>567</v>
      </c>
      <c r="C92" s="2" t="s">
        <v>19</v>
      </c>
      <c r="D92" s="2" t="s">
        <v>54</v>
      </c>
      <c r="E92" s="2" t="s">
        <v>33</v>
      </c>
      <c r="F92" s="2" t="s">
        <v>22</v>
      </c>
      <c r="G92" s="2" t="s">
        <v>102</v>
      </c>
      <c r="H92" s="2" t="s">
        <v>568</v>
      </c>
      <c r="I92" s="2">
        <v>9137365109</v>
      </c>
      <c r="J92" s="2" t="s">
        <v>569</v>
      </c>
      <c r="K92" s="2" t="s">
        <v>570</v>
      </c>
      <c r="L92" s="2">
        <v>7172191273</v>
      </c>
      <c r="M92" s="2" t="s">
        <v>571</v>
      </c>
      <c r="N92" s="2" t="s">
        <v>462</v>
      </c>
      <c r="O92" s="2">
        <v>4998</v>
      </c>
      <c r="P92" s="2" t="s">
        <v>29</v>
      </c>
      <c r="Q92" s="3">
        <v>0.97</v>
      </c>
      <c r="R92" s="2" t="s">
        <v>368</v>
      </c>
    </row>
    <row r="93" spans="1:18" ht="15" customHeight="1" x14ac:dyDescent="0.25">
      <c r="A93" s="2">
        <v>92</v>
      </c>
      <c r="B93" s="2" t="s">
        <v>572</v>
      </c>
      <c r="C93" s="2" t="s">
        <v>19</v>
      </c>
      <c r="D93" s="2" t="s">
        <v>94</v>
      </c>
      <c r="E93" s="2" t="s">
        <v>33</v>
      </c>
      <c r="F93" s="2" t="s">
        <v>22</v>
      </c>
      <c r="G93" s="2" t="s">
        <v>156</v>
      </c>
      <c r="H93" s="2" t="s">
        <v>573</v>
      </c>
      <c r="I93" s="2">
        <v>8797460535</v>
      </c>
      <c r="J93" s="2" t="s">
        <v>574</v>
      </c>
      <c r="K93" s="2" t="s">
        <v>575</v>
      </c>
      <c r="L93" s="2">
        <v>8368018471</v>
      </c>
      <c r="M93" s="2" t="s">
        <v>576</v>
      </c>
      <c r="N93" s="2" t="s">
        <v>161</v>
      </c>
      <c r="O93" s="2">
        <v>11625</v>
      </c>
      <c r="P93" s="2" t="s">
        <v>77</v>
      </c>
      <c r="Q93" s="3">
        <v>0.96</v>
      </c>
      <c r="R93" s="2" t="s">
        <v>247</v>
      </c>
    </row>
    <row r="94" spans="1:18" ht="15" customHeight="1" x14ac:dyDescent="0.25">
      <c r="A94" s="2">
        <v>93</v>
      </c>
      <c r="B94" s="2" t="s">
        <v>577</v>
      </c>
      <c r="C94" s="2" t="s">
        <v>19</v>
      </c>
      <c r="D94" s="2" t="s">
        <v>578</v>
      </c>
      <c r="E94" s="2" t="s">
        <v>33</v>
      </c>
      <c r="F94" s="2" t="s">
        <v>22</v>
      </c>
      <c r="G94" s="2" t="s">
        <v>35</v>
      </c>
      <c r="H94" s="2" t="s">
        <v>579</v>
      </c>
      <c r="I94" s="2">
        <v>7179512774</v>
      </c>
      <c r="J94" s="2" t="s">
        <v>580</v>
      </c>
      <c r="K94" s="2" t="s">
        <v>581</v>
      </c>
      <c r="L94" s="2">
        <v>9285388355</v>
      </c>
      <c r="M94" s="2" t="s">
        <v>582</v>
      </c>
      <c r="N94" s="2" t="s">
        <v>50</v>
      </c>
      <c r="O94" s="2">
        <v>4788</v>
      </c>
      <c r="P94" s="2" t="s">
        <v>41</v>
      </c>
      <c r="Q94" s="3">
        <v>0.66</v>
      </c>
      <c r="R94" s="2" t="s">
        <v>140</v>
      </c>
    </row>
    <row r="95" spans="1:18" ht="15" customHeight="1" x14ac:dyDescent="0.25">
      <c r="A95" s="2">
        <v>94</v>
      </c>
      <c r="B95" s="2" t="s">
        <v>583</v>
      </c>
      <c r="C95" s="2" t="s">
        <v>19</v>
      </c>
      <c r="D95" s="2" t="s">
        <v>178</v>
      </c>
      <c r="E95" s="2" t="s">
        <v>55</v>
      </c>
      <c r="F95" s="2" t="s">
        <v>22</v>
      </c>
      <c r="G95" s="2" t="s">
        <v>156</v>
      </c>
      <c r="H95" s="2" t="s">
        <v>584</v>
      </c>
      <c r="I95" s="2">
        <v>9128222260</v>
      </c>
      <c r="J95" s="2" t="s">
        <v>585</v>
      </c>
      <c r="K95" s="2" t="s">
        <v>586</v>
      </c>
      <c r="L95" s="2">
        <v>8694875990</v>
      </c>
      <c r="M95" s="2" t="s">
        <v>587</v>
      </c>
      <c r="N95" s="2" t="s">
        <v>202</v>
      </c>
      <c r="O95" s="2">
        <v>5414</v>
      </c>
      <c r="P95" s="2" t="s">
        <v>41</v>
      </c>
      <c r="Q95" s="3">
        <v>0.62</v>
      </c>
      <c r="R95" s="2" t="s">
        <v>393</v>
      </c>
    </row>
    <row r="96" spans="1:18" ht="15" customHeight="1" x14ac:dyDescent="0.25">
      <c r="A96" s="2">
        <v>95</v>
      </c>
      <c r="B96" s="2" t="s">
        <v>588</v>
      </c>
      <c r="C96" s="2" t="s">
        <v>19</v>
      </c>
      <c r="D96" s="2" t="s">
        <v>32</v>
      </c>
      <c r="E96" s="2" t="s">
        <v>21</v>
      </c>
      <c r="F96" s="2" t="s">
        <v>22</v>
      </c>
      <c r="G96" s="2" t="s">
        <v>156</v>
      </c>
      <c r="H96" s="2" t="s">
        <v>589</v>
      </c>
      <c r="I96" s="2">
        <v>6583156434</v>
      </c>
      <c r="J96" s="2" t="s">
        <v>590</v>
      </c>
      <c r="K96" s="2" t="s">
        <v>591</v>
      </c>
      <c r="L96" s="2">
        <v>9830261466</v>
      </c>
      <c r="M96" s="2" t="s">
        <v>592</v>
      </c>
      <c r="N96" s="2" t="s">
        <v>99</v>
      </c>
      <c r="O96" s="2">
        <v>5567</v>
      </c>
      <c r="P96" s="2" t="s">
        <v>77</v>
      </c>
      <c r="Q96" s="3">
        <v>0.98</v>
      </c>
      <c r="R96" s="2" t="s">
        <v>346</v>
      </c>
    </row>
    <row r="97" spans="1:18" ht="15" customHeight="1" x14ac:dyDescent="0.25">
      <c r="A97" s="2">
        <v>96</v>
      </c>
      <c r="B97" s="2" t="s">
        <v>593</v>
      </c>
      <c r="C97" s="2" t="s">
        <v>19</v>
      </c>
      <c r="D97" s="2" t="s">
        <v>303</v>
      </c>
      <c r="E97" s="2" t="s">
        <v>55</v>
      </c>
      <c r="F97" s="2" t="s">
        <v>22</v>
      </c>
      <c r="G97" s="2" t="s">
        <v>23</v>
      </c>
      <c r="H97" s="2" t="s">
        <v>594</v>
      </c>
      <c r="I97" s="2">
        <v>7471539452</v>
      </c>
      <c r="J97" s="2" t="s">
        <v>595</v>
      </c>
      <c r="K97" s="2" t="s">
        <v>596</v>
      </c>
      <c r="L97" s="2">
        <v>8184675178</v>
      </c>
      <c r="M97" s="2" t="s">
        <v>597</v>
      </c>
      <c r="N97" s="2" t="s">
        <v>161</v>
      </c>
      <c r="O97" s="2">
        <v>7588</v>
      </c>
      <c r="P97" s="2" t="s">
        <v>139</v>
      </c>
      <c r="Q97" s="3">
        <v>0.94</v>
      </c>
      <c r="R97" s="2" t="s">
        <v>450</v>
      </c>
    </row>
    <row r="98" spans="1:18" ht="15" customHeight="1" x14ac:dyDescent="0.25">
      <c r="A98" s="2">
        <v>97</v>
      </c>
      <c r="B98" s="2" t="s">
        <v>598</v>
      </c>
      <c r="C98" s="2" t="s">
        <v>19</v>
      </c>
      <c r="D98" s="2" t="s">
        <v>32</v>
      </c>
      <c r="E98" s="2" t="s">
        <v>33</v>
      </c>
      <c r="F98" s="2" t="s">
        <v>34</v>
      </c>
      <c r="G98" s="2" t="s">
        <v>102</v>
      </c>
      <c r="H98" s="2" t="s">
        <v>599</v>
      </c>
      <c r="I98" s="2">
        <v>6187212377</v>
      </c>
      <c r="J98" s="2" t="s">
        <v>600</v>
      </c>
      <c r="K98" s="2" t="s">
        <v>601</v>
      </c>
      <c r="L98" s="2">
        <v>6788755699</v>
      </c>
      <c r="M98" s="2" t="s">
        <v>602</v>
      </c>
      <c r="N98" s="2" t="s">
        <v>99</v>
      </c>
      <c r="O98" s="2">
        <v>8734</v>
      </c>
      <c r="P98" s="2" t="s">
        <v>29</v>
      </c>
      <c r="Q98" s="3">
        <v>0.62</v>
      </c>
      <c r="R98" s="2" t="s">
        <v>259</v>
      </c>
    </row>
    <row r="99" spans="1:18" ht="15" customHeight="1" x14ac:dyDescent="0.25">
      <c r="A99" s="2">
        <v>98</v>
      </c>
      <c r="B99" s="2" t="s">
        <v>603</v>
      </c>
      <c r="C99" s="2" t="s">
        <v>19</v>
      </c>
      <c r="D99" s="2" t="s">
        <v>149</v>
      </c>
      <c r="E99" s="2" t="s">
        <v>33</v>
      </c>
      <c r="F99" s="2" t="s">
        <v>22</v>
      </c>
      <c r="G99" s="2" t="s">
        <v>156</v>
      </c>
      <c r="H99" s="2" t="s">
        <v>604</v>
      </c>
      <c r="I99" s="2">
        <v>6269737590</v>
      </c>
      <c r="J99" s="2" t="s">
        <v>605</v>
      </c>
      <c r="K99" s="2" t="s">
        <v>606</v>
      </c>
      <c r="L99" s="2">
        <v>9546270451</v>
      </c>
      <c r="M99" s="2" t="s">
        <v>607</v>
      </c>
      <c r="N99" s="2" t="s">
        <v>289</v>
      </c>
      <c r="O99" s="2">
        <v>10775</v>
      </c>
      <c r="P99" s="2" t="s">
        <v>139</v>
      </c>
      <c r="Q99" s="3">
        <v>0.67</v>
      </c>
      <c r="R99" s="2" t="s">
        <v>265</v>
      </c>
    </row>
    <row r="100" spans="1:18" ht="15" customHeight="1" x14ac:dyDescent="0.25">
      <c r="A100" s="2">
        <v>99</v>
      </c>
      <c r="B100" s="2" t="s">
        <v>608</v>
      </c>
      <c r="C100" s="2" t="s">
        <v>19</v>
      </c>
      <c r="D100" s="2" t="s">
        <v>185</v>
      </c>
      <c r="E100" s="2" t="s">
        <v>33</v>
      </c>
      <c r="F100" s="2" t="s">
        <v>22</v>
      </c>
      <c r="G100" s="2" t="s">
        <v>102</v>
      </c>
      <c r="H100" s="2" t="s">
        <v>609</v>
      </c>
      <c r="I100" s="2">
        <v>8582750043</v>
      </c>
      <c r="J100" s="2" t="s">
        <v>610</v>
      </c>
      <c r="K100" s="2" t="s">
        <v>611</v>
      </c>
      <c r="L100" s="2">
        <v>7251266214</v>
      </c>
      <c r="M100" s="2" t="s">
        <v>612</v>
      </c>
      <c r="N100" s="2" t="s">
        <v>146</v>
      </c>
      <c r="O100" s="2">
        <v>6158</v>
      </c>
      <c r="P100" s="2" t="s">
        <v>77</v>
      </c>
      <c r="Q100" s="3">
        <v>0.61</v>
      </c>
      <c r="R100" s="2" t="s">
        <v>423</v>
      </c>
    </row>
    <row r="101" spans="1:18" ht="15" customHeight="1" x14ac:dyDescent="0.25">
      <c r="A101" s="2">
        <v>100</v>
      </c>
      <c r="B101" s="2" t="s">
        <v>613</v>
      </c>
      <c r="C101" s="2" t="s">
        <v>19</v>
      </c>
      <c r="D101" s="2" t="s">
        <v>171</v>
      </c>
      <c r="E101" s="2" t="s">
        <v>33</v>
      </c>
      <c r="F101" s="2" t="s">
        <v>22</v>
      </c>
      <c r="G101" s="2" t="s">
        <v>45</v>
      </c>
      <c r="H101" s="2" t="s">
        <v>614</v>
      </c>
      <c r="I101" s="2">
        <v>9124885365</v>
      </c>
      <c r="J101" s="2" t="s">
        <v>615</v>
      </c>
      <c r="K101" s="2" t="s">
        <v>616</v>
      </c>
      <c r="L101" s="2">
        <v>6522240582</v>
      </c>
      <c r="M101" s="2" t="s">
        <v>617</v>
      </c>
      <c r="N101" s="2" t="s">
        <v>28</v>
      </c>
      <c r="O101" s="2">
        <v>3116</v>
      </c>
      <c r="P101" s="2" t="s">
        <v>41</v>
      </c>
      <c r="Q101" s="3">
        <v>0.69</v>
      </c>
      <c r="R101" s="2" t="s">
        <v>125</v>
      </c>
    </row>
    <row r="102" spans="1:18" ht="15" customHeight="1" x14ac:dyDescent="0.25">
      <c r="A102" s="2">
        <v>101</v>
      </c>
      <c r="B102" s="2" t="s">
        <v>618</v>
      </c>
      <c r="C102" s="2" t="s">
        <v>619</v>
      </c>
      <c r="D102" s="2" t="s">
        <v>620</v>
      </c>
      <c r="E102" s="2" t="s">
        <v>33</v>
      </c>
      <c r="F102" s="2" t="s">
        <v>22</v>
      </c>
      <c r="G102" s="2" t="s">
        <v>23</v>
      </c>
      <c r="H102" s="2" t="s">
        <v>621</v>
      </c>
      <c r="I102" s="2">
        <v>8920184955</v>
      </c>
      <c r="J102" s="2" t="s">
        <v>622</v>
      </c>
      <c r="K102" s="2" t="s">
        <v>623</v>
      </c>
      <c r="L102" s="2">
        <v>9492922240</v>
      </c>
      <c r="M102" s="2" t="s">
        <v>624</v>
      </c>
      <c r="N102" s="2" t="s">
        <v>60</v>
      </c>
      <c r="O102" s="2">
        <v>1297</v>
      </c>
      <c r="P102" s="2" t="s">
        <v>51</v>
      </c>
      <c r="Q102" s="3">
        <v>0.67</v>
      </c>
      <c r="R102" s="2" t="s">
        <v>625</v>
      </c>
    </row>
    <row r="103" spans="1:18" ht="15" customHeight="1" x14ac:dyDescent="0.25">
      <c r="A103" s="2">
        <v>102</v>
      </c>
      <c r="B103" s="2" t="s">
        <v>626</v>
      </c>
      <c r="C103" s="2" t="s">
        <v>619</v>
      </c>
      <c r="D103" s="2" t="s">
        <v>627</v>
      </c>
      <c r="E103" s="2" t="s">
        <v>33</v>
      </c>
      <c r="F103" s="2" t="s">
        <v>34</v>
      </c>
      <c r="G103" s="2" t="s">
        <v>35</v>
      </c>
      <c r="H103" s="2" t="s">
        <v>628</v>
      </c>
      <c r="I103" s="2">
        <v>9500718660</v>
      </c>
      <c r="J103" s="2" t="s">
        <v>629</v>
      </c>
      <c r="K103" s="2" t="s">
        <v>350</v>
      </c>
      <c r="L103" s="2">
        <v>8698967370</v>
      </c>
      <c r="M103" s="2" t="s">
        <v>630</v>
      </c>
      <c r="N103" s="2" t="s">
        <v>195</v>
      </c>
      <c r="O103" s="2">
        <v>6439</v>
      </c>
      <c r="P103" s="2" t="s">
        <v>139</v>
      </c>
      <c r="Q103" s="3">
        <v>0.67</v>
      </c>
      <c r="R103" s="2" t="s">
        <v>631</v>
      </c>
    </row>
    <row r="104" spans="1:18" ht="15" customHeight="1" x14ac:dyDescent="0.25">
      <c r="A104" s="2">
        <v>103</v>
      </c>
      <c r="B104" s="2" t="s">
        <v>632</v>
      </c>
      <c r="C104" s="2" t="s">
        <v>619</v>
      </c>
      <c r="D104" s="2" t="s">
        <v>633</v>
      </c>
      <c r="E104" s="2" t="s">
        <v>21</v>
      </c>
      <c r="F104" s="2" t="s">
        <v>34</v>
      </c>
      <c r="G104" s="2" t="s">
        <v>35</v>
      </c>
      <c r="H104" s="2" t="s">
        <v>634</v>
      </c>
      <c r="I104" s="2">
        <v>7452150647</v>
      </c>
      <c r="J104" s="2" t="s">
        <v>635</v>
      </c>
      <c r="K104" s="2" t="s">
        <v>636</v>
      </c>
      <c r="L104" s="2">
        <v>8274485243</v>
      </c>
      <c r="M104" s="2" t="s">
        <v>637</v>
      </c>
      <c r="N104" s="2" t="s">
        <v>107</v>
      </c>
      <c r="O104" s="2">
        <v>8693</v>
      </c>
      <c r="P104" s="2" t="s">
        <v>51</v>
      </c>
      <c r="Q104" s="3">
        <v>0.56999999999999995</v>
      </c>
      <c r="R104" s="2" t="s">
        <v>638</v>
      </c>
    </row>
    <row r="105" spans="1:18" ht="15" customHeight="1" x14ac:dyDescent="0.25">
      <c r="A105" s="2">
        <v>104</v>
      </c>
      <c r="B105" s="2" t="s">
        <v>639</v>
      </c>
      <c r="C105" s="2" t="s">
        <v>619</v>
      </c>
      <c r="D105" s="2" t="s">
        <v>640</v>
      </c>
      <c r="E105" s="2" t="s">
        <v>55</v>
      </c>
      <c r="F105" s="2" t="s">
        <v>22</v>
      </c>
      <c r="G105" s="2" t="s">
        <v>102</v>
      </c>
      <c r="H105" s="2" t="s">
        <v>641</v>
      </c>
      <c r="I105" s="2">
        <v>8955508961</v>
      </c>
      <c r="J105" s="2" t="s">
        <v>642</v>
      </c>
      <c r="K105" s="2" t="s">
        <v>643</v>
      </c>
      <c r="L105" s="2">
        <v>6740926818</v>
      </c>
      <c r="M105" s="2" t="s">
        <v>83</v>
      </c>
      <c r="N105" s="2" t="s">
        <v>146</v>
      </c>
      <c r="O105" s="2">
        <v>8811</v>
      </c>
      <c r="P105" s="2" t="s">
        <v>41</v>
      </c>
      <c r="Q105" s="3">
        <v>0.77</v>
      </c>
      <c r="R105" s="2" t="s">
        <v>644</v>
      </c>
    </row>
    <row r="106" spans="1:18" ht="15" customHeight="1" x14ac:dyDescent="0.25">
      <c r="A106" s="2">
        <v>105</v>
      </c>
      <c r="B106" s="2" t="s">
        <v>645</v>
      </c>
      <c r="C106" s="2" t="s">
        <v>619</v>
      </c>
      <c r="D106" s="2" t="s">
        <v>646</v>
      </c>
      <c r="E106" s="2" t="s">
        <v>33</v>
      </c>
      <c r="F106" s="2" t="s">
        <v>22</v>
      </c>
      <c r="G106" s="2" t="s">
        <v>35</v>
      </c>
      <c r="H106" s="2" t="s">
        <v>647</v>
      </c>
      <c r="I106" s="2">
        <v>9436824737</v>
      </c>
      <c r="J106" s="2" t="s">
        <v>175</v>
      </c>
      <c r="K106" s="2" t="s">
        <v>648</v>
      </c>
      <c r="L106" s="2">
        <v>9262598077</v>
      </c>
      <c r="M106" s="2" t="s">
        <v>649</v>
      </c>
      <c r="N106" s="2" t="s">
        <v>28</v>
      </c>
      <c r="O106" s="2">
        <v>1341</v>
      </c>
      <c r="P106" s="2" t="s">
        <v>139</v>
      </c>
      <c r="Q106" s="3">
        <v>0.76</v>
      </c>
      <c r="R106" s="2" t="s">
        <v>650</v>
      </c>
    </row>
    <row r="107" spans="1:18" ht="15" customHeight="1" x14ac:dyDescent="0.25">
      <c r="A107" s="2">
        <v>106</v>
      </c>
      <c r="B107" s="2" t="s">
        <v>651</v>
      </c>
      <c r="C107" s="2" t="s">
        <v>619</v>
      </c>
      <c r="D107" s="2" t="s">
        <v>652</v>
      </c>
      <c r="E107" s="2" t="s">
        <v>55</v>
      </c>
      <c r="F107" s="2" t="s">
        <v>34</v>
      </c>
      <c r="G107" s="2" t="s">
        <v>35</v>
      </c>
      <c r="H107" s="2" t="s">
        <v>653</v>
      </c>
      <c r="I107" s="2">
        <v>8686556403</v>
      </c>
      <c r="J107" s="2" t="s">
        <v>654</v>
      </c>
      <c r="K107" s="2" t="s">
        <v>655</v>
      </c>
      <c r="L107" s="2">
        <v>8825708356</v>
      </c>
      <c r="M107" s="2" t="s">
        <v>656</v>
      </c>
      <c r="N107" s="2" t="s">
        <v>289</v>
      </c>
      <c r="O107" s="2">
        <v>1520</v>
      </c>
      <c r="P107" s="2" t="s">
        <v>29</v>
      </c>
      <c r="Q107" s="3">
        <v>0.61</v>
      </c>
      <c r="R107" s="2" t="s">
        <v>657</v>
      </c>
    </row>
    <row r="108" spans="1:18" ht="15" customHeight="1" x14ac:dyDescent="0.25">
      <c r="A108" s="2">
        <v>107</v>
      </c>
      <c r="B108" s="2" t="s">
        <v>658</v>
      </c>
      <c r="C108" s="2" t="s">
        <v>619</v>
      </c>
      <c r="D108" s="2" t="s">
        <v>659</v>
      </c>
      <c r="E108" s="2" t="s">
        <v>55</v>
      </c>
      <c r="F108" s="2" t="s">
        <v>22</v>
      </c>
      <c r="G108" s="2" t="s">
        <v>23</v>
      </c>
      <c r="H108" s="2" t="s">
        <v>660</v>
      </c>
      <c r="I108" s="2">
        <v>8701818966</v>
      </c>
      <c r="J108" s="2" t="s">
        <v>661</v>
      </c>
      <c r="K108" s="2" t="s">
        <v>662</v>
      </c>
      <c r="L108" s="2">
        <v>8409011489</v>
      </c>
      <c r="M108" s="2" t="s">
        <v>663</v>
      </c>
      <c r="N108" s="2" t="s">
        <v>40</v>
      </c>
      <c r="O108" s="2">
        <v>9643</v>
      </c>
      <c r="P108" s="2" t="s">
        <v>70</v>
      </c>
      <c r="Q108" s="3">
        <v>0.65</v>
      </c>
      <c r="R108" s="2" t="s">
        <v>664</v>
      </c>
    </row>
    <row r="109" spans="1:18" ht="15" customHeight="1" x14ac:dyDescent="0.25">
      <c r="A109" s="2">
        <v>108</v>
      </c>
      <c r="B109" s="2" t="s">
        <v>665</v>
      </c>
      <c r="C109" s="2" t="s">
        <v>619</v>
      </c>
      <c r="D109" s="2" t="s">
        <v>666</v>
      </c>
      <c r="E109" s="2" t="s">
        <v>55</v>
      </c>
      <c r="F109" s="2" t="s">
        <v>22</v>
      </c>
      <c r="G109" s="2" t="s">
        <v>45</v>
      </c>
      <c r="H109" s="2" t="s">
        <v>667</v>
      </c>
      <c r="I109" s="2">
        <v>8902448600</v>
      </c>
      <c r="J109" s="2" t="s">
        <v>668</v>
      </c>
      <c r="K109" s="2" t="s">
        <v>669</v>
      </c>
      <c r="L109" s="2">
        <v>9329766590</v>
      </c>
      <c r="M109" s="2" t="s">
        <v>670</v>
      </c>
      <c r="N109" s="2" t="s">
        <v>107</v>
      </c>
      <c r="O109" s="2">
        <v>6154</v>
      </c>
      <c r="P109" s="2" t="s">
        <v>41</v>
      </c>
      <c r="Q109" s="3">
        <v>0.9</v>
      </c>
      <c r="R109" s="2" t="s">
        <v>671</v>
      </c>
    </row>
    <row r="110" spans="1:18" ht="15" customHeight="1" x14ac:dyDescent="0.25">
      <c r="A110" s="2">
        <v>109</v>
      </c>
      <c r="B110" s="2" t="s">
        <v>672</v>
      </c>
      <c r="C110" s="2" t="s">
        <v>619</v>
      </c>
      <c r="D110" s="2" t="s">
        <v>673</v>
      </c>
      <c r="E110" s="2" t="s">
        <v>55</v>
      </c>
      <c r="F110" s="2" t="s">
        <v>22</v>
      </c>
      <c r="G110" s="2" t="s">
        <v>35</v>
      </c>
      <c r="H110" s="2" t="s">
        <v>674</v>
      </c>
      <c r="I110" s="2">
        <v>6543778963</v>
      </c>
      <c r="J110" s="2" t="s">
        <v>675</v>
      </c>
      <c r="K110" s="2" t="s">
        <v>676</v>
      </c>
      <c r="L110" s="2">
        <v>8870257350</v>
      </c>
      <c r="M110" s="2" t="s">
        <v>677</v>
      </c>
      <c r="N110" s="2" t="s">
        <v>40</v>
      </c>
      <c r="O110" s="2">
        <v>2749</v>
      </c>
      <c r="P110" s="2" t="s">
        <v>51</v>
      </c>
      <c r="Q110" s="3">
        <v>0.81</v>
      </c>
      <c r="R110" s="2" t="s">
        <v>678</v>
      </c>
    </row>
    <row r="111" spans="1:18" ht="15" customHeight="1" x14ac:dyDescent="0.25">
      <c r="A111" s="2">
        <v>110</v>
      </c>
      <c r="B111" s="2" t="s">
        <v>679</v>
      </c>
      <c r="C111" s="2" t="s">
        <v>619</v>
      </c>
      <c r="D111" s="2" t="s">
        <v>646</v>
      </c>
      <c r="E111" s="2" t="s">
        <v>21</v>
      </c>
      <c r="F111" s="2" t="s">
        <v>22</v>
      </c>
      <c r="G111" s="2" t="s">
        <v>23</v>
      </c>
      <c r="H111" s="2" t="s">
        <v>680</v>
      </c>
      <c r="I111" s="2">
        <v>7674615376</v>
      </c>
      <c r="J111" s="2" t="s">
        <v>681</v>
      </c>
      <c r="K111" s="2" t="s">
        <v>682</v>
      </c>
      <c r="L111" s="2">
        <v>6287974375</v>
      </c>
      <c r="M111" s="2" t="s">
        <v>683</v>
      </c>
      <c r="N111" s="2" t="s">
        <v>215</v>
      </c>
      <c r="O111" s="2">
        <v>9516</v>
      </c>
      <c r="P111" s="2" t="s">
        <v>61</v>
      </c>
      <c r="Q111" s="3">
        <v>0.72</v>
      </c>
      <c r="R111" s="2" t="s">
        <v>684</v>
      </c>
    </row>
    <row r="112" spans="1:18" ht="15" customHeight="1" x14ac:dyDescent="0.25">
      <c r="A112" s="2">
        <v>111</v>
      </c>
      <c r="B112" s="2" t="s">
        <v>685</v>
      </c>
      <c r="C112" s="2" t="s">
        <v>619</v>
      </c>
      <c r="D112" s="2" t="s">
        <v>652</v>
      </c>
      <c r="E112" s="2" t="s">
        <v>21</v>
      </c>
      <c r="F112" s="2" t="s">
        <v>22</v>
      </c>
      <c r="G112" s="2" t="s">
        <v>156</v>
      </c>
      <c r="H112" s="2" t="s">
        <v>686</v>
      </c>
      <c r="I112" s="2">
        <v>9788603957</v>
      </c>
      <c r="J112" s="2" t="s">
        <v>687</v>
      </c>
      <c r="K112" s="2" t="s">
        <v>688</v>
      </c>
      <c r="L112" s="2">
        <v>9244096091</v>
      </c>
      <c r="M112" s="2" t="s">
        <v>689</v>
      </c>
      <c r="N112" s="2" t="s">
        <v>107</v>
      </c>
      <c r="O112" s="2">
        <v>8616</v>
      </c>
      <c r="P112" s="2" t="s">
        <v>61</v>
      </c>
      <c r="Q112" s="3">
        <v>0.95</v>
      </c>
      <c r="R112" s="2" t="s">
        <v>690</v>
      </c>
    </row>
    <row r="113" spans="1:18" ht="15" customHeight="1" x14ac:dyDescent="0.25">
      <c r="A113" s="2">
        <v>112</v>
      </c>
      <c r="B113" s="2" t="s">
        <v>691</v>
      </c>
      <c r="C113" s="2" t="s">
        <v>619</v>
      </c>
      <c r="D113" s="2" t="s">
        <v>620</v>
      </c>
      <c r="E113" s="2" t="s">
        <v>33</v>
      </c>
      <c r="F113" s="2" t="s">
        <v>22</v>
      </c>
      <c r="G113" s="2" t="s">
        <v>156</v>
      </c>
      <c r="H113" s="2" t="s">
        <v>692</v>
      </c>
      <c r="I113" s="2">
        <v>7288436227</v>
      </c>
      <c r="J113" s="2" t="s">
        <v>693</v>
      </c>
      <c r="K113" s="2" t="s">
        <v>694</v>
      </c>
      <c r="L113" s="2">
        <v>9987973565</v>
      </c>
      <c r="M113" s="2" t="s">
        <v>695</v>
      </c>
      <c r="N113" s="2" t="s">
        <v>146</v>
      </c>
      <c r="O113" s="2">
        <v>3162</v>
      </c>
      <c r="P113" s="2" t="s">
        <v>29</v>
      </c>
      <c r="Q113" s="3">
        <v>0.75</v>
      </c>
      <c r="R113" s="2" t="s">
        <v>696</v>
      </c>
    </row>
    <row r="114" spans="1:18" ht="15" customHeight="1" x14ac:dyDescent="0.25">
      <c r="A114" s="2">
        <v>113</v>
      </c>
      <c r="B114" s="2" t="s">
        <v>697</v>
      </c>
      <c r="C114" s="2" t="s">
        <v>619</v>
      </c>
      <c r="D114" s="2" t="s">
        <v>652</v>
      </c>
      <c r="E114" s="2" t="s">
        <v>55</v>
      </c>
      <c r="F114" s="2" t="s">
        <v>22</v>
      </c>
      <c r="G114" s="2" t="s">
        <v>45</v>
      </c>
      <c r="H114" s="2" t="s">
        <v>698</v>
      </c>
      <c r="I114" s="2">
        <v>8725412469</v>
      </c>
      <c r="J114" s="2" t="s">
        <v>699</v>
      </c>
      <c r="K114" s="2" t="s">
        <v>333</v>
      </c>
      <c r="L114" s="2">
        <v>6380840558</v>
      </c>
      <c r="M114" s="2" t="s">
        <v>700</v>
      </c>
      <c r="N114" s="2" t="s">
        <v>50</v>
      </c>
      <c r="O114" s="2">
        <v>3527</v>
      </c>
      <c r="P114" s="2" t="s">
        <v>61</v>
      </c>
      <c r="Q114" s="3">
        <v>0.76</v>
      </c>
      <c r="R114" s="2" t="s">
        <v>701</v>
      </c>
    </row>
    <row r="115" spans="1:18" ht="15" customHeight="1" x14ac:dyDescent="0.25">
      <c r="A115" s="2">
        <v>114</v>
      </c>
      <c r="B115" s="2" t="s">
        <v>702</v>
      </c>
      <c r="C115" s="2" t="s">
        <v>619</v>
      </c>
      <c r="D115" s="2" t="s">
        <v>633</v>
      </c>
      <c r="E115" s="2" t="s">
        <v>55</v>
      </c>
      <c r="F115" s="2" t="s">
        <v>34</v>
      </c>
      <c r="G115" s="2" t="s">
        <v>156</v>
      </c>
      <c r="H115" s="2" t="s">
        <v>703</v>
      </c>
      <c r="I115" s="2">
        <v>9264481748</v>
      </c>
      <c r="J115" s="2" t="s">
        <v>704</v>
      </c>
      <c r="K115" s="2" t="s">
        <v>676</v>
      </c>
      <c r="L115" s="2">
        <v>9902874167</v>
      </c>
      <c r="M115" s="2" t="s">
        <v>677</v>
      </c>
      <c r="N115" s="2" t="s">
        <v>84</v>
      </c>
      <c r="O115" s="2">
        <v>5526</v>
      </c>
      <c r="P115" s="2" t="s">
        <v>61</v>
      </c>
      <c r="Q115" s="3">
        <v>0.72</v>
      </c>
      <c r="R115" s="2" t="s">
        <v>705</v>
      </c>
    </row>
    <row r="116" spans="1:18" ht="15" customHeight="1" x14ac:dyDescent="0.25">
      <c r="A116" s="2">
        <v>115</v>
      </c>
      <c r="B116" s="2" t="s">
        <v>706</v>
      </c>
      <c r="C116" s="2" t="s">
        <v>619</v>
      </c>
      <c r="D116" s="2" t="s">
        <v>707</v>
      </c>
      <c r="E116" s="2" t="s">
        <v>33</v>
      </c>
      <c r="F116" s="2" t="s">
        <v>22</v>
      </c>
      <c r="G116" s="2" t="s">
        <v>35</v>
      </c>
      <c r="H116" s="2" t="s">
        <v>708</v>
      </c>
      <c r="I116" s="2">
        <v>8183862154</v>
      </c>
      <c r="J116" s="2" t="s">
        <v>709</v>
      </c>
      <c r="K116" s="2" t="s">
        <v>710</v>
      </c>
      <c r="L116" s="2">
        <v>6166312199</v>
      </c>
      <c r="M116" s="2" t="s">
        <v>711</v>
      </c>
      <c r="N116" s="2" t="s">
        <v>289</v>
      </c>
      <c r="O116" s="2">
        <v>9306</v>
      </c>
      <c r="P116" s="2" t="s">
        <v>41</v>
      </c>
      <c r="Q116" s="3">
        <v>0.84</v>
      </c>
      <c r="R116" s="2" t="s">
        <v>712</v>
      </c>
    </row>
    <row r="117" spans="1:18" ht="15" customHeight="1" x14ac:dyDescent="0.25">
      <c r="A117" s="2">
        <v>116</v>
      </c>
      <c r="B117" s="2" t="s">
        <v>713</v>
      </c>
      <c r="C117" s="2" t="s">
        <v>619</v>
      </c>
      <c r="D117" s="2" t="s">
        <v>714</v>
      </c>
      <c r="E117" s="2" t="s">
        <v>55</v>
      </c>
      <c r="F117" s="2" t="s">
        <v>34</v>
      </c>
      <c r="G117" s="2" t="s">
        <v>35</v>
      </c>
      <c r="H117" s="2" t="s">
        <v>715</v>
      </c>
      <c r="I117" s="2">
        <v>9968326513</v>
      </c>
      <c r="J117" s="2" t="s">
        <v>716</v>
      </c>
      <c r="K117" s="2" t="s">
        <v>75</v>
      </c>
      <c r="L117" s="2">
        <v>6586869229</v>
      </c>
      <c r="M117" s="2" t="s">
        <v>717</v>
      </c>
      <c r="N117" s="2" t="s">
        <v>161</v>
      </c>
      <c r="O117" s="2">
        <v>3195</v>
      </c>
      <c r="P117" s="2" t="s">
        <v>70</v>
      </c>
      <c r="Q117" s="3">
        <v>0.92</v>
      </c>
      <c r="R117" s="2" t="s">
        <v>718</v>
      </c>
    </row>
    <row r="118" spans="1:18" ht="15" customHeight="1" x14ac:dyDescent="0.25">
      <c r="A118" s="2">
        <v>117</v>
      </c>
      <c r="B118" s="2" t="s">
        <v>719</v>
      </c>
      <c r="C118" s="2" t="s">
        <v>619</v>
      </c>
      <c r="D118" s="2" t="s">
        <v>720</v>
      </c>
      <c r="E118" s="2" t="s">
        <v>55</v>
      </c>
      <c r="F118" s="2" t="s">
        <v>22</v>
      </c>
      <c r="G118" s="2" t="s">
        <v>35</v>
      </c>
      <c r="H118" s="2" t="s">
        <v>721</v>
      </c>
      <c r="I118" s="2">
        <v>6554941605</v>
      </c>
      <c r="J118" s="2" t="s">
        <v>722</v>
      </c>
      <c r="K118" s="2" t="s">
        <v>723</v>
      </c>
      <c r="L118" s="2">
        <v>8852032540</v>
      </c>
      <c r="M118" s="2" t="s">
        <v>724</v>
      </c>
      <c r="N118" s="2" t="s">
        <v>271</v>
      </c>
      <c r="O118" s="2">
        <v>9655</v>
      </c>
      <c r="P118" s="2" t="s">
        <v>77</v>
      </c>
      <c r="Q118" s="3">
        <v>0.84</v>
      </c>
      <c r="R118" s="2" t="s">
        <v>725</v>
      </c>
    </row>
    <row r="119" spans="1:18" ht="15" customHeight="1" x14ac:dyDescent="0.25">
      <c r="A119" s="2">
        <v>118</v>
      </c>
      <c r="B119" s="2" t="s">
        <v>726</v>
      </c>
      <c r="C119" s="2" t="s">
        <v>619</v>
      </c>
      <c r="D119" s="2" t="s">
        <v>727</v>
      </c>
      <c r="E119" s="2" t="s">
        <v>55</v>
      </c>
      <c r="F119" s="2" t="s">
        <v>22</v>
      </c>
      <c r="G119" s="2" t="s">
        <v>156</v>
      </c>
      <c r="H119" s="2" t="s">
        <v>728</v>
      </c>
      <c r="I119" s="2">
        <v>7801726890</v>
      </c>
      <c r="J119" s="2" t="s">
        <v>729</v>
      </c>
      <c r="K119" s="2" t="s">
        <v>730</v>
      </c>
      <c r="L119" s="2">
        <v>8227381397</v>
      </c>
      <c r="M119" s="2" t="s">
        <v>731</v>
      </c>
      <c r="N119" s="2" t="s">
        <v>289</v>
      </c>
      <c r="O119" s="2">
        <v>1019</v>
      </c>
      <c r="P119" s="2" t="s">
        <v>70</v>
      </c>
      <c r="Q119" s="3">
        <v>0.73</v>
      </c>
      <c r="R119" s="2" t="s">
        <v>732</v>
      </c>
    </row>
    <row r="120" spans="1:18" ht="15" customHeight="1" x14ac:dyDescent="0.25">
      <c r="A120" s="2">
        <v>119</v>
      </c>
      <c r="B120" s="2" t="s">
        <v>733</v>
      </c>
      <c r="C120" s="2" t="s">
        <v>619</v>
      </c>
      <c r="D120" s="2" t="s">
        <v>734</v>
      </c>
      <c r="E120" s="2" t="s">
        <v>55</v>
      </c>
      <c r="F120" s="2" t="s">
        <v>22</v>
      </c>
      <c r="G120" s="2" t="s">
        <v>23</v>
      </c>
      <c r="H120" s="2" t="s">
        <v>735</v>
      </c>
      <c r="I120" s="2">
        <v>9471686188</v>
      </c>
      <c r="J120" s="2" t="s">
        <v>736</v>
      </c>
      <c r="K120" s="2" t="s">
        <v>737</v>
      </c>
      <c r="L120" s="2">
        <v>7395976645</v>
      </c>
      <c r="M120" s="2" t="s">
        <v>738</v>
      </c>
      <c r="N120" s="2" t="s">
        <v>28</v>
      </c>
      <c r="O120" s="2">
        <v>556</v>
      </c>
      <c r="P120" s="2" t="s">
        <v>41</v>
      </c>
      <c r="Q120" s="3">
        <v>0.56000000000000005</v>
      </c>
      <c r="R120" s="2" t="s">
        <v>739</v>
      </c>
    </row>
    <row r="121" spans="1:18" ht="15" customHeight="1" x14ac:dyDescent="0.25">
      <c r="A121" s="2">
        <v>120</v>
      </c>
      <c r="B121" s="2" t="s">
        <v>740</v>
      </c>
      <c r="C121" s="2" t="s">
        <v>619</v>
      </c>
      <c r="D121" s="2" t="s">
        <v>673</v>
      </c>
      <c r="E121" s="2" t="s">
        <v>55</v>
      </c>
      <c r="F121" s="2" t="s">
        <v>22</v>
      </c>
      <c r="G121" s="2" t="s">
        <v>156</v>
      </c>
      <c r="H121" s="2" t="s">
        <v>741</v>
      </c>
      <c r="I121" s="2">
        <v>6362781292</v>
      </c>
      <c r="J121" s="2" t="s">
        <v>742</v>
      </c>
      <c r="K121" s="2" t="s">
        <v>743</v>
      </c>
      <c r="L121" s="2">
        <v>6531929128</v>
      </c>
      <c r="M121" s="2" t="s">
        <v>744</v>
      </c>
      <c r="N121" s="2" t="s">
        <v>462</v>
      </c>
      <c r="O121" s="2">
        <v>10574</v>
      </c>
      <c r="P121" s="2" t="s">
        <v>41</v>
      </c>
      <c r="Q121" s="3">
        <v>0.95</v>
      </c>
      <c r="R121" s="2" t="s">
        <v>745</v>
      </c>
    </row>
    <row r="122" spans="1:18" ht="15" customHeight="1" x14ac:dyDescent="0.25">
      <c r="A122" s="2">
        <v>121</v>
      </c>
      <c r="B122" s="2" t="s">
        <v>746</v>
      </c>
      <c r="C122" s="2" t="s">
        <v>619</v>
      </c>
      <c r="D122" s="2" t="s">
        <v>747</v>
      </c>
      <c r="E122" s="2" t="s">
        <v>21</v>
      </c>
      <c r="F122" s="2" t="s">
        <v>22</v>
      </c>
      <c r="G122" s="2" t="s">
        <v>156</v>
      </c>
      <c r="H122" s="2" t="s">
        <v>748</v>
      </c>
      <c r="I122" s="2">
        <v>8395444277</v>
      </c>
      <c r="J122" s="2" t="s">
        <v>749</v>
      </c>
      <c r="K122" s="2" t="s">
        <v>750</v>
      </c>
      <c r="L122" s="2">
        <v>6697771523</v>
      </c>
      <c r="M122" s="2" t="s">
        <v>751</v>
      </c>
      <c r="N122" s="2" t="s">
        <v>161</v>
      </c>
      <c r="O122" s="2">
        <v>8755</v>
      </c>
      <c r="P122" s="2" t="s">
        <v>70</v>
      </c>
      <c r="Q122" s="3">
        <v>0.65</v>
      </c>
      <c r="R122" s="2" t="s">
        <v>752</v>
      </c>
    </row>
    <row r="123" spans="1:18" ht="15" customHeight="1" x14ac:dyDescent="0.25">
      <c r="A123" s="2">
        <v>122</v>
      </c>
      <c r="B123" s="2" t="s">
        <v>753</v>
      </c>
      <c r="C123" s="2" t="s">
        <v>619</v>
      </c>
      <c r="D123" s="2" t="s">
        <v>754</v>
      </c>
      <c r="E123" s="2" t="s">
        <v>55</v>
      </c>
      <c r="F123" s="2" t="s">
        <v>22</v>
      </c>
      <c r="G123" s="2" t="s">
        <v>45</v>
      </c>
      <c r="H123" s="2" t="s">
        <v>755</v>
      </c>
      <c r="I123" s="2">
        <v>9297438548</v>
      </c>
      <c r="J123" s="2" t="s">
        <v>756</v>
      </c>
      <c r="K123" s="2" t="s">
        <v>757</v>
      </c>
      <c r="L123" s="2">
        <v>9358737619</v>
      </c>
      <c r="M123" s="2" t="s">
        <v>758</v>
      </c>
      <c r="N123" s="2" t="s">
        <v>289</v>
      </c>
      <c r="O123" s="2">
        <v>1268</v>
      </c>
      <c r="P123" s="2" t="s">
        <v>70</v>
      </c>
      <c r="Q123" s="3">
        <v>0.95</v>
      </c>
      <c r="R123" s="2" t="s">
        <v>393</v>
      </c>
    </row>
    <row r="124" spans="1:18" ht="15" customHeight="1" x14ac:dyDescent="0.25">
      <c r="A124" s="2">
        <v>123</v>
      </c>
      <c r="B124" s="2" t="s">
        <v>759</v>
      </c>
      <c r="C124" s="2" t="s">
        <v>619</v>
      </c>
      <c r="D124" s="2" t="s">
        <v>760</v>
      </c>
      <c r="E124" s="2" t="s">
        <v>33</v>
      </c>
      <c r="F124" s="2" t="s">
        <v>22</v>
      </c>
      <c r="G124" s="2" t="s">
        <v>23</v>
      </c>
      <c r="H124" s="2" t="s">
        <v>761</v>
      </c>
      <c r="I124" s="2">
        <v>6582954920</v>
      </c>
      <c r="J124" s="2" t="s">
        <v>762</v>
      </c>
      <c r="K124" s="2" t="s">
        <v>763</v>
      </c>
      <c r="L124" s="2">
        <v>8199282456</v>
      </c>
      <c r="M124" s="2" t="s">
        <v>764</v>
      </c>
      <c r="N124" s="2" t="s">
        <v>84</v>
      </c>
      <c r="O124" s="2">
        <v>1444</v>
      </c>
      <c r="P124" s="2" t="s">
        <v>139</v>
      </c>
      <c r="Q124" s="3">
        <v>0.73</v>
      </c>
      <c r="R124" s="2" t="s">
        <v>765</v>
      </c>
    </row>
    <row r="125" spans="1:18" ht="15" customHeight="1" x14ac:dyDescent="0.25">
      <c r="A125" s="2">
        <v>124</v>
      </c>
      <c r="B125" s="2" t="s">
        <v>766</v>
      </c>
      <c r="C125" s="2" t="s">
        <v>619</v>
      </c>
      <c r="D125" s="2" t="s">
        <v>714</v>
      </c>
      <c r="E125" s="2" t="s">
        <v>55</v>
      </c>
      <c r="F125" s="2" t="s">
        <v>22</v>
      </c>
      <c r="G125" s="2" t="s">
        <v>156</v>
      </c>
      <c r="H125" s="2" t="s">
        <v>767</v>
      </c>
      <c r="I125" s="2">
        <v>8425545658</v>
      </c>
      <c r="J125" s="2" t="s">
        <v>768</v>
      </c>
      <c r="K125" s="2" t="s">
        <v>769</v>
      </c>
      <c r="L125" s="2">
        <v>6327426863</v>
      </c>
      <c r="M125" s="2" t="s">
        <v>770</v>
      </c>
      <c r="N125" s="2" t="s">
        <v>40</v>
      </c>
      <c r="O125" s="2">
        <v>6679</v>
      </c>
      <c r="P125" s="2" t="s">
        <v>29</v>
      </c>
      <c r="Q125" s="3">
        <v>0.81</v>
      </c>
      <c r="R125" s="2" t="s">
        <v>771</v>
      </c>
    </row>
    <row r="126" spans="1:18" ht="15" customHeight="1" x14ac:dyDescent="0.25">
      <c r="A126" s="2">
        <v>125</v>
      </c>
      <c r="B126" s="2" t="s">
        <v>772</v>
      </c>
      <c r="C126" s="2" t="s">
        <v>619</v>
      </c>
      <c r="D126" s="2" t="s">
        <v>673</v>
      </c>
      <c r="E126" s="2" t="s">
        <v>55</v>
      </c>
      <c r="F126" s="2" t="s">
        <v>34</v>
      </c>
      <c r="G126" s="2" t="s">
        <v>45</v>
      </c>
      <c r="H126" s="2" t="s">
        <v>773</v>
      </c>
      <c r="I126" s="2">
        <v>8431165907</v>
      </c>
      <c r="J126" s="2" t="s">
        <v>774</v>
      </c>
      <c r="K126" s="2" t="s">
        <v>775</v>
      </c>
      <c r="L126" s="2">
        <v>8486165467</v>
      </c>
      <c r="M126" s="2" t="s">
        <v>776</v>
      </c>
      <c r="N126" s="2" t="s">
        <v>28</v>
      </c>
      <c r="O126" s="2">
        <v>11897</v>
      </c>
      <c r="P126" s="2" t="s">
        <v>139</v>
      </c>
      <c r="Q126" s="3">
        <v>0.85</v>
      </c>
      <c r="R126" s="2" t="s">
        <v>777</v>
      </c>
    </row>
    <row r="127" spans="1:18" ht="15" customHeight="1" x14ac:dyDescent="0.25">
      <c r="A127" s="2">
        <v>126</v>
      </c>
      <c r="B127" s="2" t="s">
        <v>778</v>
      </c>
      <c r="C127" s="2" t="s">
        <v>619</v>
      </c>
      <c r="D127" s="2" t="s">
        <v>620</v>
      </c>
      <c r="E127" s="2" t="s">
        <v>33</v>
      </c>
      <c r="F127" s="2" t="s">
        <v>22</v>
      </c>
      <c r="G127" s="2" t="s">
        <v>45</v>
      </c>
      <c r="H127" s="2" t="s">
        <v>779</v>
      </c>
      <c r="I127" s="2">
        <v>7454190155</v>
      </c>
      <c r="J127" s="2" t="s">
        <v>780</v>
      </c>
      <c r="K127" s="2" t="s">
        <v>781</v>
      </c>
      <c r="L127" s="2">
        <v>7507849850</v>
      </c>
      <c r="M127" s="2" t="s">
        <v>782</v>
      </c>
      <c r="N127" s="2" t="s">
        <v>146</v>
      </c>
      <c r="O127" s="2">
        <v>3828</v>
      </c>
      <c r="P127" s="2" t="s">
        <v>70</v>
      </c>
      <c r="Q127" s="3">
        <v>0.68</v>
      </c>
      <c r="R127" s="2" t="s">
        <v>783</v>
      </c>
    </row>
    <row r="128" spans="1:18" ht="15" customHeight="1" x14ac:dyDescent="0.25">
      <c r="A128" s="2">
        <v>127</v>
      </c>
      <c r="B128" s="2" t="s">
        <v>784</v>
      </c>
      <c r="C128" s="2" t="s">
        <v>619</v>
      </c>
      <c r="D128" s="2" t="s">
        <v>754</v>
      </c>
      <c r="E128" s="2" t="s">
        <v>21</v>
      </c>
      <c r="F128" s="2" t="s">
        <v>22</v>
      </c>
      <c r="G128" s="2" t="s">
        <v>102</v>
      </c>
      <c r="H128" s="2" t="s">
        <v>785</v>
      </c>
      <c r="I128" s="2">
        <v>9297619784</v>
      </c>
      <c r="J128" s="2" t="s">
        <v>786</v>
      </c>
      <c r="K128" s="2" t="s">
        <v>787</v>
      </c>
      <c r="L128" s="2">
        <v>6662581035</v>
      </c>
      <c r="M128" s="2" t="s">
        <v>788</v>
      </c>
      <c r="N128" s="2" t="s">
        <v>40</v>
      </c>
      <c r="O128" s="2">
        <v>8505</v>
      </c>
      <c r="P128" s="2" t="s">
        <v>29</v>
      </c>
      <c r="Q128" s="3">
        <v>0.83</v>
      </c>
      <c r="R128" s="2" t="s">
        <v>789</v>
      </c>
    </row>
    <row r="129" spans="1:18" ht="15" customHeight="1" x14ac:dyDescent="0.25">
      <c r="A129" s="2">
        <v>128</v>
      </c>
      <c r="B129" s="2" t="s">
        <v>790</v>
      </c>
      <c r="C129" s="2" t="s">
        <v>619</v>
      </c>
      <c r="D129" s="2" t="s">
        <v>627</v>
      </c>
      <c r="E129" s="2" t="s">
        <v>21</v>
      </c>
      <c r="F129" s="2" t="s">
        <v>22</v>
      </c>
      <c r="G129" s="2" t="s">
        <v>156</v>
      </c>
      <c r="H129" s="2" t="s">
        <v>791</v>
      </c>
      <c r="I129" s="2">
        <v>6763395529</v>
      </c>
      <c r="J129" s="2" t="s">
        <v>792</v>
      </c>
      <c r="K129" s="2" t="s">
        <v>793</v>
      </c>
      <c r="L129" s="2">
        <v>9807901168</v>
      </c>
      <c r="M129" s="2" t="s">
        <v>794</v>
      </c>
      <c r="N129" s="2" t="s">
        <v>215</v>
      </c>
      <c r="O129" s="2">
        <v>7256</v>
      </c>
      <c r="P129" s="2" t="s">
        <v>61</v>
      </c>
      <c r="Q129" s="3">
        <v>0.91</v>
      </c>
      <c r="R129" s="2" t="s">
        <v>795</v>
      </c>
    </row>
    <row r="130" spans="1:18" ht="15" customHeight="1" x14ac:dyDescent="0.25">
      <c r="A130" s="2">
        <v>129</v>
      </c>
      <c r="B130" s="2" t="s">
        <v>796</v>
      </c>
      <c r="C130" s="2" t="s">
        <v>619</v>
      </c>
      <c r="D130" s="2" t="s">
        <v>646</v>
      </c>
      <c r="E130" s="2" t="s">
        <v>21</v>
      </c>
      <c r="F130" s="2" t="s">
        <v>34</v>
      </c>
      <c r="G130" s="2" t="s">
        <v>35</v>
      </c>
      <c r="H130" s="2" t="s">
        <v>797</v>
      </c>
      <c r="I130" s="2">
        <v>6663054538</v>
      </c>
      <c r="J130" s="2" t="s">
        <v>798</v>
      </c>
      <c r="K130" s="2" t="s">
        <v>799</v>
      </c>
      <c r="L130" s="2">
        <v>7358738317</v>
      </c>
      <c r="M130" s="2" t="s">
        <v>480</v>
      </c>
      <c r="N130" s="2" t="s">
        <v>462</v>
      </c>
      <c r="O130" s="2">
        <v>694</v>
      </c>
      <c r="P130" s="2" t="s">
        <v>51</v>
      </c>
      <c r="Q130" s="3">
        <v>0.78</v>
      </c>
      <c r="R130" s="2" t="s">
        <v>800</v>
      </c>
    </row>
    <row r="131" spans="1:18" ht="15" customHeight="1" x14ac:dyDescent="0.25">
      <c r="A131" s="2">
        <v>130</v>
      </c>
      <c r="B131" s="2" t="s">
        <v>801</v>
      </c>
      <c r="C131" s="2" t="s">
        <v>619</v>
      </c>
      <c r="D131" s="2" t="s">
        <v>673</v>
      </c>
      <c r="E131" s="2" t="s">
        <v>55</v>
      </c>
      <c r="F131" s="2" t="s">
        <v>22</v>
      </c>
      <c r="G131" s="2" t="s">
        <v>102</v>
      </c>
      <c r="H131" s="2" t="s">
        <v>494</v>
      </c>
      <c r="I131" s="2">
        <v>6801943382</v>
      </c>
      <c r="J131" s="2" t="s">
        <v>802</v>
      </c>
      <c r="K131" s="2" t="s">
        <v>48</v>
      </c>
      <c r="L131" s="2">
        <v>6200395400</v>
      </c>
      <c r="M131" s="2" t="s">
        <v>803</v>
      </c>
      <c r="N131" s="2" t="s">
        <v>40</v>
      </c>
      <c r="O131" s="2">
        <v>7002</v>
      </c>
      <c r="P131" s="2" t="s">
        <v>51</v>
      </c>
      <c r="Q131" s="3">
        <v>0.71</v>
      </c>
      <c r="R131" s="2" t="s">
        <v>804</v>
      </c>
    </row>
    <row r="132" spans="1:18" ht="15" customHeight="1" x14ac:dyDescent="0.25">
      <c r="A132" s="2">
        <v>131</v>
      </c>
      <c r="B132" s="2" t="s">
        <v>805</v>
      </c>
      <c r="C132" s="2" t="s">
        <v>619</v>
      </c>
      <c r="D132" s="2" t="s">
        <v>640</v>
      </c>
      <c r="E132" s="2" t="s">
        <v>33</v>
      </c>
      <c r="F132" s="2" t="s">
        <v>22</v>
      </c>
      <c r="G132" s="2" t="s">
        <v>45</v>
      </c>
      <c r="H132" s="2" t="s">
        <v>806</v>
      </c>
      <c r="I132" s="2">
        <v>7327007332</v>
      </c>
      <c r="J132" s="2" t="s">
        <v>807</v>
      </c>
      <c r="K132" s="2" t="s">
        <v>808</v>
      </c>
      <c r="L132" s="2">
        <v>9391086098</v>
      </c>
      <c r="M132" s="2" t="s">
        <v>809</v>
      </c>
      <c r="N132" s="2" t="s">
        <v>271</v>
      </c>
      <c r="O132" s="2">
        <v>10932</v>
      </c>
      <c r="P132" s="2" t="s">
        <v>51</v>
      </c>
      <c r="Q132" s="3">
        <v>0.85</v>
      </c>
      <c r="R132" s="2" t="s">
        <v>810</v>
      </c>
    </row>
    <row r="133" spans="1:18" ht="15" customHeight="1" x14ac:dyDescent="0.25">
      <c r="A133" s="2">
        <v>132</v>
      </c>
      <c r="B133" s="2" t="s">
        <v>811</v>
      </c>
      <c r="C133" s="2" t="s">
        <v>619</v>
      </c>
      <c r="D133" s="2" t="s">
        <v>627</v>
      </c>
      <c r="E133" s="2" t="s">
        <v>21</v>
      </c>
      <c r="F133" s="2" t="s">
        <v>22</v>
      </c>
      <c r="G133" s="2" t="s">
        <v>102</v>
      </c>
      <c r="H133" s="2" t="s">
        <v>812</v>
      </c>
      <c r="I133" s="2">
        <v>9826960759</v>
      </c>
      <c r="J133" s="2" t="s">
        <v>813</v>
      </c>
      <c r="K133" s="2" t="s">
        <v>814</v>
      </c>
      <c r="L133" s="2">
        <v>8512151733</v>
      </c>
      <c r="M133" s="2" t="s">
        <v>815</v>
      </c>
      <c r="N133" s="2" t="s">
        <v>271</v>
      </c>
      <c r="O133" s="2">
        <v>3438</v>
      </c>
      <c r="P133" s="2" t="s">
        <v>41</v>
      </c>
      <c r="Q133" s="3">
        <v>0.69</v>
      </c>
      <c r="R133" s="2" t="s">
        <v>816</v>
      </c>
    </row>
    <row r="134" spans="1:18" ht="15" customHeight="1" x14ac:dyDescent="0.25">
      <c r="A134" s="2">
        <v>133</v>
      </c>
      <c r="B134" s="2" t="s">
        <v>817</v>
      </c>
      <c r="C134" s="2" t="s">
        <v>619</v>
      </c>
      <c r="D134" s="2" t="s">
        <v>720</v>
      </c>
      <c r="E134" s="2" t="s">
        <v>55</v>
      </c>
      <c r="F134" s="2" t="s">
        <v>22</v>
      </c>
      <c r="G134" s="2" t="s">
        <v>35</v>
      </c>
      <c r="H134" s="2" t="s">
        <v>818</v>
      </c>
      <c r="I134" s="2">
        <v>8941328406</v>
      </c>
      <c r="J134" s="2" t="s">
        <v>819</v>
      </c>
      <c r="K134" s="2" t="s">
        <v>820</v>
      </c>
      <c r="L134" s="2">
        <v>9626781451</v>
      </c>
      <c r="M134" s="2" t="s">
        <v>821</v>
      </c>
      <c r="N134" s="2" t="s">
        <v>60</v>
      </c>
      <c r="O134" s="2">
        <v>1379</v>
      </c>
      <c r="P134" s="2" t="s">
        <v>51</v>
      </c>
      <c r="Q134" s="3">
        <v>0.74</v>
      </c>
      <c r="R134" s="2" t="s">
        <v>822</v>
      </c>
    </row>
    <row r="135" spans="1:18" ht="15" customHeight="1" x14ac:dyDescent="0.25">
      <c r="A135" s="2">
        <v>134</v>
      </c>
      <c r="B135" s="2" t="s">
        <v>823</v>
      </c>
      <c r="C135" s="2" t="s">
        <v>619</v>
      </c>
      <c r="D135" s="2" t="s">
        <v>760</v>
      </c>
      <c r="E135" s="2" t="s">
        <v>33</v>
      </c>
      <c r="F135" s="2" t="s">
        <v>22</v>
      </c>
      <c r="G135" s="2" t="s">
        <v>45</v>
      </c>
      <c r="H135" s="2" t="s">
        <v>824</v>
      </c>
      <c r="I135" s="2">
        <v>7508021882</v>
      </c>
      <c r="J135" s="2" t="s">
        <v>825</v>
      </c>
      <c r="K135" s="2" t="s">
        <v>826</v>
      </c>
      <c r="L135" s="2">
        <v>7894198823</v>
      </c>
      <c r="M135" s="2" t="s">
        <v>827</v>
      </c>
      <c r="N135" s="2" t="s">
        <v>462</v>
      </c>
      <c r="O135" s="2">
        <v>3543</v>
      </c>
      <c r="P135" s="2" t="s">
        <v>29</v>
      </c>
      <c r="Q135" s="3">
        <v>0.8</v>
      </c>
      <c r="R135" s="2" t="s">
        <v>828</v>
      </c>
    </row>
    <row r="136" spans="1:18" ht="15" customHeight="1" x14ac:dyDescent="0.25">
      <c r="A136" s="2">
        <v>135</v>
      </c>
      <c r="B136" s="2" t="s">
        <v>829</v>
      </c>
      <c r="C136" s="2" t="s">
        <v>619</v>
      </c>
      <c r="D136" s="2" t="s">
        <v>640</v>
      </c>
      <c r="E136" s="2" t="s">
        <v>33</v>
      </c>
      <c r="F136" s="2" t="s">
        <v>22</v>
      </c>
      <c r="G136" s="2" t="s">
        <v>156</v>
      </c>
      <c r="H136" s="2" t="s">
        <v>830</v>
      </c>
      <c r="I136" s="2">
        <v>9210909937</v>
      </c>
      <c r="J136" s="2" t="s">
        <v>831</v>
      </c>
      <c r="K136" s="2" t="s">
        <v>448</v>
      </c>
      <c r="L136" s="2">
        <v>6196227496</v>
      </c>
      <c r="M136" s="2" t="s">
        <v>832</v>
      </c>
      <c r="N136" s="2" t="s">
        <v>215</v>
      </c>
      <c r="O136" s="2">
        <v>5550</v>
      </c>
      <c r="P136" s="2" t="s">
        <v>77</v>
      </c>
      <c r="Q136" s="3">
        <v>0.7</v>
      </c>
      <c r="R136" s="2" t="s">
        <v>833</v>
      </c>
    </row>
    <row r="137" spans="1:18" ht="15" customHeight="1" x14ac:dyDescent="0.25">
      <c r="A137" s="2">
        <v>136</v>
      </c>
      <c r="B137" s="2" t="s">
        <v>834</v>
      </c>
      <c r="C137" s="2" t="s">
        <v>619</v>
      </c>
      <c r="D137" s="2" t="s">
        <v>633</v>
      </c>
      <c r="E137" s="2" t="s">
        <v>55</v>
      </c>
      <c r="F137" s="2" t="s">
        <v>34</v>
      </c>
      <c r="G137" s="2" t="s">
        <v>35</v>
      </c>
      <c r="H137" s="2" t="s">
        <v>835</v>
      </c>
      <c r="I137" s="2">
        <v>9282001119</v>
      </c>
      <c r="J137" s="2" t="s">
        <v>836</v>
      </c>
      <c r="K137" s="2" t="s">
        <v>837</v>
      </c>
      <c r="L137" s="2">
        <v>7388749542</v>
      </c>
      <c r="M137" s="2" t="s">
        <v>838</v>
      </c>
      <c r="N137" s="2" t="s">
        <v>146</v>
      </c>
      <c r="O137" s="2">
        <v>6811</v>
      </c>
      <c r="P137" s="2" t="s">
        <v>51</v>
      </c>
      <c r="Q137" s="3">
        <v>0.68</v>
      </c>
      <c r="R137" s="2" t="s">
        <v>839</v>
      </c>
    </row>
    <row r="138" spans="1:18" ht="15" customHeight="1" x14ac:dyDescent="0.25">
      <c r="A138" s="2">
        <v>137</v>
      </c>
      <c r="B138" s="2" t="s">
        <v>840</v>
      </c>
      <c r="C138" s="2" t="s">
        <v>619</v>
      </c>
      <c r="D138" s="2" t="s">
        <v>841</v>
      </c>
      <c r="E138" s="2" t="s">
        <v>33</v>
      </c>
      <c r="F138" s="2" t="s">
        <v>22</v>
      </c>
      <c r="G138" s="2" t="s">
        <v>156</v>
      </c>
      <c r="H138" s="2" t="s">
        <v>842</v>
      </c>
      <c r="I138" s="2">
        <v>7591625191</v>
      </c>
      <c r="J138" s="2" t="s">
        <v>843</v>
      </c>
      <c r="K138" s="2" t="s">
        <v>844</v>
      </c>
      <c r="L138" s="2">
        <v>6245480775</v>
      </c>
      <c r="M138" s="2" t="s">
        <v>845</v>
      </c>
      <c r="N138" s="2" t="s">
        <v>138</v>
      </c>
      <c r="O138" s="2">
        <v>7621</v>
      </c>
      <c r="P138" s="2" t="s">
        <v>70</v>
      </c>
      <c r="Q138" s="3">
        <v>0.73</v>
      </c>
      <c r="R138" s="2" t="s">
        <v>846</v>
      </c>
    </row>
    <row r="139" spans="1:18" ht="15" customHeight="1" x14ac:dyDescent="0.25">
      <c r="A139" s="2">
        <v>138</v>
      </c>
      <c r="B139" s="2" t="s">
        <v>847</v>
      </c>
      <c r="C139" s="2" t="s">
        <v>619</v>
      </c>
      <c r="D139" s="2" t="s">
        <v>841</v>
      </c>
      <c r="E139" s="2" t="s">
        <v>21</v>
      </c>
      <c r="F139" s="2" t="s">
        <v>22</v>
      </c>
      <c r="G139" s="2" t="s">
        <v>102</v>
      </c>
      <c r="H139" s="2" t="s">
        <v>848</v>
      </c>
      <c r="I139" s="2">
        <v>7527606494</v>
      </c>
      <c r="J139" s="2" t="s">
        <v>849</v>
      </c>
      <c r="K139" s="2" t="s">
        <v>850</v>
      </c>
      <c r="L139" s="2">
        <v>8412940071</v>
      </c>
      <c r="M139" s="2" t="s">
        <v>851</v>
      </c>
      <c r="N139" s="2" t="s">
        <v>107</v>
      </c>
      <c r="O139" s="2">
        <v>5899</v>
      </c>
      <c r="P139" s="2" t="s">
        <v>77</v>
      </c>
      <c r="Q139" s="3">
        <v>0.69</v>
      </c>
      <c r="R139" s="2" t="s">
        <v>42</v>
      </c>
    </row>
    <row r="140" spans="1:18" ht="15" customHeight="1" x14ac:dyDescent="0.25">
      <c r="A140" s="2">
        <v>139</v>
      </c>
      <c r="B140" s="2" t="s">
        <v>852</v>
      </c>
      <c r="C140" s="2" t="s">
        <v>619</v>
      </c>
      <c r="D140" s="2" t="s">
        <v>646</v>
      </c>
      <c r="E140" s="2" t="s">
        <v>55</v>
      </c>
      <c r="F140" s="2" t="s">
        <v>22</v>
      </c>
      <c r="G140" s="2" t="s">
        <v>102</v>
      </c>
      <c r="H140" s="2" t="s">
        <v>853</v>
      </c>
      <c r="I140" s="2">
        <v>6880839406</v>
      </c>
      <c r="J140" s="2" t="s">
        <v>258</v>
      </c>
      <c r="K140" s="2" t="s">
        <v>854</v>
      </c>
      <c r="L140" s="2">
        <v>9860603328</v>
      </c>
      <c r="M140" s="2" t="s">
        <v>855</v>
      </c>
      <c r="N140" s="2" t="s">
        <v>107</v>
      </c>
      <c r="O140" s="2">
        <v>5092</v>
      </c>
      <c r="P140" s="2" t="s">
        <v>41</v>
      </c>
      <c r="Q140" s="3">
        <v>0.89</v>
      </c>
      <c r="R140" s="2" t="s">
        <v>42</v>
      </c>
    </row>
    <row r="141" spans="1:18" ht="15" customHeight="1" x14ac:dyDescent="0.25">
      <c r="A141" s="2">
        <v>140</v>
      </c>
      <c r="B141" s="2" t="s">
        <v>856</v>
      </c>
      <c r="C141" s="2" t="s">
        <v>619</v>
      </c>
      <c r="D141" s="2" t="s">
        <v>673</v>
      </c>
      <c r="E141" s="2" t="s">
        <v>33</v>
      </c>
      <c r="F141" s="2" t="s">
        <v>22</v>
      </c>
      <c r="G141" s="2" t="s">
        <v>156</v>
      </c>
      <c r="H141" s="2" t="s">
        <v>142</v>
      </c>
      <c r="I141" s="2">
        <v>9742026586</v>
      </c>
      <c r="J141" s="2" t="s">
        <v>857</v>
      </c>
      <c r="K141" s="2" t="s">
        <v>858</v>
      </c>
      <c r="L141" s="2">
        <v>9725179752</v>
      </c>
      <c r="M141" s="2" t="s">
        <v>859</v>
      </c>
      <c r="N141" s="2" t="s">
        <v>462</v>
      </c>
      <c r="O141" s="2">
        <v>11526</v>
      </c>
      <c r="P141" s="2" t="s">
        <v>77</v>
      </c>
      <c r="Q141" s="3">
        <v>0.61</v>
      </c>
      <c r="R141" s="2" t="s">
        <v>860</v>
      </c>
    </row>
    <row r="142" spans="1:18" ht="15" customHeight="1" x14ac:dyDescent="0.25">
      <c r="A142" s="2">
        <v>141</v>
      </c>
      <c r="B142" s="2" t="s">
        <v>861</v>
      </c>
      <c r="C142" s="2" t="s">
        <v>619</v>
      </c>
      <c r="D142" s="2" t="s">
        <v>640</v>
      </c>
      <c r="E142" s="2" t="s">
        <v>55</v>
      </c>
      <c r="F142" s="2" t="s">
        <v>22</v>
      </c>
      <c r="G142" s="2" t="s">
        <v>45</v>
      </c>
      <c r="H142" s="2" t="s">
        <v>413</v>
      </c>
      <c r="I142" s="2">
        <v>6704753177</v>
      </c>
      <c r="J142" s="2" t="s">
        <v>414</v>
      </c>
      <c r="K142" s="2" t="s">
        <v>862</v>
      </c>
      <c r="L142" s="2">
        <v>9908186980</v>
      </c>
      <c r="M142" s="2" t="s">
        <v>863</v>
      </c>
      <c r="N142" s="2" t="s">
        <v>271</v>
      </c>
      <c r="O142" s="2">
        <v>6390</v>
      </c>
      <c r="P142" s="2" t="s">
        <v>29</v>
      </c>
      <c r="Q142" s="3">
        <v>0.94</v>
      </c>
      <c r="R142" s="2" t="s">
        <v>864</v>
      </c>
    </row>
    <row r="143" spans="1:18" ht="15" customHeight="1" x14ac:dyDescent="0.25">
      <c r="A143" s="2">
        <v>142</v>
      </c>
      <c r="B143" s="2" t="s">
        <v>865</v>
      </c>
      <c r="C143" s="2" t="s">
        <v>619</v>
      </c>
      <c r="D143" s="2" t="s">
        <v>866</v>
      </c>
      <c r="E143" s="2" t="s">
        <v>33</v>
      </c>
      <c r="F143" s="2" t="s">
        <v>34</v>
      </c>
      <c r="G143" s="2" t="s">
        <v>156</v>
      </c>
      <c r="H143" s="2" t="s">
        <v>867</v>
      </c>
      <c r="I143" s="2">
        <v>6618371508</v>
      </c>
      <c r="J143" s="2" t="s">
        <v>868</v>
      </c>
      <c r="K143" s="2" t="s">
        <v>869</v>
      </c>
      <c r="L143" s="2">
        <v>6417217932</v>
      </c>
      <c r="M143" s="2" t="s">
        <v>870</v>
      </c>
      <c r="N143" s="2" t="s">
        <v>40</v>
      </c>
      <c r="O143" s="2">
        <v>4137</v>
      </c>
      <c r="P143" s="2" t="s">
        <v>139</v>
      </c>
      <c r="Q143" s="3">
        <v>0.87</v>
      </c>
      <c r="R143" s="2" t="s">
        <v>871</v>
      </c>
    </row>
    <row r="144" spans="1:18" ht="15" customHeight="1" x14ac:dyDescent="0.25">
      <c r="A144" s="2">
        <v>143</v>
      </c>
      <c r="B144" s="2" t="s">
        <v>872</v>
      </c>
      <c r="C144" s="2" t="s">
        <v>619</v>
      </c>
      <c r="D144" s="2" t="s">
        <v>652</v>
      </c>
      <c r="E144" s="2" t="s">
        <v>21</v>
      </c>
      <c r="F144" s="2" t="s">
        <v>34</v>
      </c>
      <c r="G144" s="2" t="s">
        <v>23</v>
      </c>
      <c r="H144" s="2" t="s">
        <v>873</v>
      </c>
      <c r="I144" s="2">
        <v>9442426442</v>
      </c>
      <c r="J144" s="2" t="s">
        <v>874</v>
      </c>
      <c r="K144" s="2" t="s">
        <v>875</v>
      </c>
      <c r="L144" s="2">
        <v>6422406106</v>
      </c>
      <c r="M144" s="2" t="s">
        <v>441</v>
      </c>
      <c r="N144" s="2" t="s">
        <v>60</v>
      </c>
      <c r="O144" s="2">
        <v>5610</v>
      </c>
      <c r="P144" s="2" t="s">
        <v>70</v>
      </c>
      <c r="Q144" s="3">
        <v>0.75</v>
      </c>
      <c r="R144" s="2" t="s">
        <v>876</v>
      </c>
    </row>
    <row r="145" spans="1:18" ht="15" customHeight="1" x14ac:dyDescent="0.25">
      <c r="A145" s="2">
        <v>144</v>
      </c>
      <c r="B145" s="2" t="s">
        <v>877</v>
      </c>
      <c r="C145" s="2" t="s">
        <v>619</v>
      </c>
      <c r="D145" s="2" t="s">
        <v>627</v>
      </c>
      <c r="E145" s="2" t="s">
        <v>55</v>
      </c>
      <c r="F145" s="2" t="s">
        <v>34</v>
      </c>
      <c r="G145" s="2" t="s">
        <v>102</v>
      </c>
      <c r="H145" s="2" t="s">
        <v>878</v>
      </c>
      <c r="I145" s="2">
        <v>9348952994</v>
      </c>
      <c r="J145" s="2" t="s">
        <v>838</v>
      </c>
      <c r="K145" s="2" t="s">
        <v>879</v>
      </c>
      <c r="L145" s="2">
        <v>9776199993</v>
      </c>
      <c r="M145" s="2" t="s">
        <v>233</v>
      </c>
      <c r="N145" s="2" t="s">
        <v>50</v>
      </c>
      <c r="O145" s="2">
        <v>11594</v>
      </c>
      <c r="P145" s="2" t="s">
        <v>41</v>
      </c>
      <c r="Q145" s="3">
        <v>0.62</v>
      </c>
      <c r="R145" s="2" t="s">
        <v>880</v>
      </c>
    </row>
    <row r="146" spans="1:18" ht="15" customHeight="1" x14ac:dyDescent="0.25">
      <c r="A146" s="2">
        <v>145</v>
      </c>
      <c r="B146" s="2" t="s">
        <v>881</v>
      </c>
      <c r="C146" s="2" t="s">
        <v>619</v>
      </c>
      <c r="D146" s="2" t="s">
        <v>734</v>
      </c>
      <c r="E146" s="2" t="s">
        <v>21</v>
      </c>
      <c r="F146" s="2" t="s">
        <v>22</v>
      </c>
      <c r="G146" s="2" t="s">
        <v>45</v>
      </c>
      <c r="H146" s="2" t="s">
        <v>882</v>
      </c>
      <c r="I146" s="2">
        <v>8907803348</v>
      </c>
      <c r="J146" s="2" t="s">
        <v>883</v>
      </c>
      <c r="K146" s="2" t="s">
        <v>884</v>
      </c>
      <c r="L146" s="2">
        <v>6719922596</v>
      </c>
      <c r="M146" s="2" t="s">
        <v>885</v>
      </c>
      <c r="N146" s="2" t="s">
        <v>107</v>
      </c>
      <c r="O146" s="2">
        <v>978</v>
      </c>
      <c r="P146" s="2" t="s">
        <v>29</v>
      </c>
      <c r="Q146" s="3">
        <v>0.81</v>
      </c>
      <c r="R146" s="2" t="s">
        <v>886</v>
      </c>
    </row>
    <row r="147" spans="1:18" ht="15" customHeight="1" x14ac:dyDescent="0.25">
      <c r="A147" s="2">
        <v>146</v>
      </c>
      <c r="B147" s="2" t="s">
        <v>887</v>
      </c>
      <c r="C147" s="2" t="s">
        <v>619</v>
      </c>
      <c r="D147" s="2" t="s">
        <v>666</v>
      </c>
      <c r="E147" s="2" t="s">
        <v>55</v>
      </c>
      <c r="F147" s="2" t="s">
        <v>34</v>
      </c>
      <c r="G147" s="2" t="s">
        <v>102</v>
      </c>
      <c r="H147" s="2" t="s">
        <v>755</v>
      </c>
      <c r="I147" s="2">
        <v>8477940931</v>
      </c>
      <c r="J147" s="2" t="s">
        <v>756</v>
      </c>
      <c r="K147" s="2" t="s">
        <v>888</v>
      </c>
      <c r="L147" s="2">
        <v>9762888128</v>
      </c>
      <c r="M147" s="2" t="s">
        <v>889</v>
      </c>
      <c r="N147" s="2" t="s">
        <v>195</v>
      </c>
      <c r="O147" s="2">
        <v>7996</v>
      </c>
      <c r="P147" s="2" t="s">
        <v>51</v>
      </c>
      <c r="Q147" s="3">
        <v>0.66</v>
      </c>
      <c r="R147" s="2" t="s">
        <v>890</v>
      </c>
    </row>
    <row r="148" spans="1:18" ht="15" customHeight="1" x14ac:dyDescent="0.25">
      <c r="A148" s="2">
        <v>147</v>
      </c>
      <c r="B148" s="2" t="s">
        <v>891</v>
      </c>
      <c r="C148" s="2" t="s">
        <v>619</v>
      </c>
      <c r="D148" s="2" t="s">
        <v>734</v>
      </c>
      <c r="E148" s="2" t="s">
        <v>55</v>
      </c>
      <c r="F148" s="2" t="s">
        <v>22</v>
      </c>
      <c r="G148" s="2" t="s">
        <v>102</v>
      </c>
      <c r="H148" s="2" t="s">
        <v>892</v>
      </c>
      <c r="I148" s="2">
        <v>9740407346</v>
      </c>
      <c r="J148" s="2" t="s">
        <v>893</v>
      </c>
      <c r="K148" s="2" t="s">
        <v>894</v>
      </c>
      <c r="L148" s="2">
        <v>7717193289</v>
      </c>
      <c r="M148" s="2" t="s">
        <v>895</v>
      </c>
      <c r="N148" s="2" t="s">
        <v>99</v>
      </c>
      <c r="O148" s="2">
        <v>11511</v>
      </c>
      <c r="P148" s="2" t="s">
        <v>61</v>
      </c>
      <c r="Q148" s="3">
        <v>0.68</v>
      </c>
      <c r="R148" s="2" t="s">
        <v>896</v>
      </c>
    </row>
    <row r="149" spans="1:18" ht="15" customHeight="1" x14ac:dyDescent="0.25">
      <c r="A149" s="2">
        <v>148</v>
      </c>
      <c r="B149" s="2" t="s">
        <v>897</v>
      </c>
      <c r="C149" s="2" t="s">
        <v>619</v>
      </c>
      <c r="D149" s="2" t="s">
        <v>640</v>
      </c>
      <c r="E149" s="2" t="s">
        <v>33</v>
      </c>
      <c r="F149" s="2" t="s">
        <v>34</v>
      </c>
      <c r="G149" s="2" t="s">
        <v>35</v>
      </c>
      <c r="H149" s="2" t="s">
        <v>898</v>
      </c>
      <c r="I149" s="2">
        <v>9246603034</v>
      </c>
      <c r="J149" s="2" t="s">
        <v>899</v>
      </c>
      <c r="K149" s="2" t="s">
        <v>900</v>
      </c>
      <c r="L149" s="2">
        <v>7975331448</v>
      </c>
      <c r="M149" s="2" t="s">
        <v>901</v>
      </c>
      <c r="N149" s="2" t="s">
        <v>138</v>
      </c>
      <c r="O149" s="2">
        <v>9591</v>
      </c>
      <c r="P149" s="2" t="s">
        <v>61</v>
      </c>
      <c r="Q149" s="3">
        <v>0.76</v>
      </c>
      <c r="R149" s="2" t="s">
        <v>902</v>
      </c>
    </row>
    <row r="150" spans="1:18" ht="15" customHeight="1" x14ac:dyDescent="0.25">
      <c r="A150" s="2">
        <v>149</v>
      </c>
      <c r="B150" s="2" t="s">
        <v>903</v>
      </c>
      <c r="C150" s="2" t="s">
        <v>619</v>
      </c>
      <c r="D150" s="2" t="s">
        <v>640</v>
      </c>
      <c r="E150" s="2" t="s">
        <v>55</v>
      </c>
      <c r="F150" s="2" t="s">
        <v>22</v>
      </c>
      <c r="G150" s="2" t="s">
        <v>45</v>
      </c>
      <c r="H150" s="2" t="s">
        <v>904</v>
      </c>
      <c r="I150" s="2">
        <v>6395121074</v>
      </c>
      <c r="J150" s="2" t="s">
        <v>905</v>
      </c>
      <c r="K150" s="2" t="s">
        <v>906</v>
      </c>
      <c r="L150" s="2">
        <v>7677252858</v>
      </c>
      <c r="M150" s="2" t="s">
        <v>907</v>
      </c>
      <c r="N150" s="2" t="s">
        <v>462</v>
      </c>
      <c r="O150" s="2">
        <v>11718</v>
      </c>
      <c r="P150" s="2" t="s">
        <v>77</v>
      </c>
      <c r="Q150" s="3">
        <v>0.73</v>
      </c>
      <c r="R150" s="2" t="s">
        <v>908</v>
      </c>
    </row>
    <row r="151" spans="1:18" ht="15" customHeight="1" x14ac:dyDescent="0.25">
      <c r="A151" s="2">
        <v>150</v>
      </c>
      <c r="B151" s="2" t="s">
        <v>909</v>
      </c>
      <c r="C151" s="2" t="s">
        <v>619</v>
      </c>
      <c r="D151" s="2" t="s">
        <v>841</v>
      </c>
      <c r="E151" s="2" t="s">
        <v>21</v>
      </c>
      <c r="F151" s="2" t="s">
        <v>22</v>
      </c>
      <c r="G151" s="2" t="s">
        <v>35</v>
      </c>
      <c r="H151" s="2" t="s">
        <v>910</v>
      </c>
      <c r="I151" s="2">
        <v>7556506372</v>
      </c>
      <c r="J151" s="2" t="s">
        <v>911</v>
      </c>
      <c r="K151" s="2" t="s">
        <v>743</v>
      </c>
      <c r="L151" s="2">
        <v>6890261845</v>
      </c>
      <c r="M151" s="2" t="s">
        <v>744</v>
      </c>
      <c r="N151" s="2" t="s">
        <v>289</v>
      </c>
      <c r="O151" s="2">
        <v>9506</v>
      </c>
      <c r="P151" s="2" t="s">
        <v>139</v>
      </c>
      <c r="Q151" s="3">
        <v>0.6</v>
      </c>
      <c r="R151" s="2" t="s">
        <v>912</v>
      </c>
    </row>
    <row r="152" spans="1:18" ht="15" customHeight="1" x14ac:dyDescent="0.25">
      <c r="A152" s="2">
        <v>151</v>
      </c>
      <c r="B152" s="2" t="s">
        <v>913</v>
      </c>
      <c r="C152" s="2" t="s">
        <v>619</v>
      </c>
      <c r="D152" s="2" t="s">
        <v>760</v>
      </c>
      <c r="E152" s="2" t="s">
        <v>33</v>
      </c>
      <c r="F152" s="2" t="s">
        <v>22</v>
      </c>
      <c r="G152" s="2" t="s">
        <v>156</v>
      </c>
      <c r="H152" s="2" t="s">
        <v>914</v>
      </c>
      <c r="I152" s="2">
        <v>9278221407</v>
      </c>
      <c r="J152" s="2" t="s">
        <v>915</v>
      </c>
      <c r="K152" s="2" t="s">
        <v>916</v>
      </c>
      <c r="L152" s="2">
        <v>7942725534</v>
      </c>
      <c r="M152" s="2" t="s">
        <v>917</v>
      </c>
      <c r="N152" s="2" t="s">
        <v>84</v>
      </c>
      <c r="O152" s="2">
        <v>4805</v>
      </c>
      <c r="P152" s="2" t="s">
        <v>70</v>
      </c>
      <c r="Q152" s="3">
        <v>0.92</v>
      </c>
      <c r="R152" s="2" t="s">
        <v>918</v>
      </c>
    </row>
    <row r="153" spans="1:18" ht="15" customHeight="1" x14ac:dyDescent="0.25">
      <c r="A153" s="2">
        <v>152</v>
      </c>
      <c r="B153" s="2" t="s">
        <v>919</v>
      </c>
      <c r="C153" s="2" t="s">
        <v>619</v>
      </c>
      <c r="D153" s="2" t="s">
        <v>673</v>
      </c>
      <c r="E153" s="2" t="s">
        <v>21</v>
      </c>
      <c r="F153" s="2" t="s">
        <v>22</v>
      </c>
      <c r="G153" s="2" t="s">
        <v>35</v>
      </c>
      <c r="H153" s="2" t="s">
        <v>920</v>
      </c>
      <c r="I153" s="2">
        <v>6245587477</v>
      </c>
      <c r="J153" s="2" t="s">
        <v>921</v>
      </c>
      <c r="K153" s="2" t="s">
        <v>922</v>
      </c>
      <c r="L153" s="2">
        <v>9163657733</v>
      </c>
      <c r="M153" s="2" t="s">
        <v>923</v>
      </c>
      <c r="N153" s="2" t="s">
        <v>60</v>
      </c>
      <c r="O153" s="2">
        <v>9220</v>
      </c>
      <c r="P153" s="2" t="s">
        <v>70</v>
      </c>
      <c r="Q153" s="3">
        <v>0.81</v>
      </c>
      <c r="R153" s="2" t="s">
        <v>924</v>
      </c>
    </row>
    <row r="154" spans="1:18" ht="15" customHeight="1" x14ac:dyDescent="0.25">
      <c r="A154" s="2">
        <v>153</v>
      </c>
      <c r="B154" s="2" t="s">
        <v>925</v>
      </c>
      <c r="C154" s="2" t="s">
        <v>619</v>
      </c>
      <c r="D154" s="2" t="s">
        <v>659</v>
      </c>
      <c r="E154" s="2" t="s">
        <v>55</v>
      </c>
      <c r="F154" s="2" t="s">
        <v>34</v>
      </c>
      <c r="G154" s="2" t="s">
        <v>23</v>
      </c>
      <c r="H154" s="2" t="s">
        <v>926</v>
      </c>
      <c r="I154" s="2">
        <v>9181084980</v>
      </c>
      <c r="J154" s="2" t="s">
        <v>927</v>
      </c>
      <c r="K154" s="2" t="s">
        <v>928</v>
      </c>
      <c r="L154" s="2">
        <v>6532557724</v>
      </c>
      <c r="M154" s="2" t="s">
        <v>250</v>
      </c>
      <c r="N154" s="2" t="s">
        <v>28</v>
      </c>
      <c r="O154" s="2">
        <v>2896</v>
      </c>
      <c r="P154" s="2" t="s">
        <v>29</v>
      </c>
      <c r="Q154" s="3">
        <v>0.69</v>
      </c>
      <c r="R154" s="2" t="s">
        <v>929</v>
      </c>
    </row>
    <row r="155" spans="1:18" ht="15" customHeight="1" x14ac:dyDescent="0.25">
      <c r="A155" s="2">
        <v>154</v>
      </c>
      <c r="B155" s="2" t="s">
        <v>930</v>
      </c>
      <c r="C155" s="2" t="s">
        <v>619</v>
      </c>
      <c r="D155" s="2" t="s">
        <v>620</v>
      </c>
      <c r="E155" s="2" t="s">
        <v>55</v>
      </c>
      <c r="F155" s="2" t="s">
        <v>22</v>
      </c>
      <c r="G155" s="2" t="s">
        <v>102</v>
      </c>
      <c r="H155" s="2" t="s">
        <v>931</v>
      </c>
      <c r="I155" s="2">
        <v>7631196129</v>
      </c>
      <c r="J155" s="2" t="s">
        <v>932</v>
      </c>
      <c r="K155" s="2" t="s">
        <v>933</v>
      </c>
      <c r="L155" s="2">
        <v>8446673808</v>
      </c>
      <c r="M155" s="2" t="s">
        <v>934</v>
      </c>
      <c r="N155" s="2" t="s">
        <v>84</v>
      </c>
      <c r="O155" s="2">
        <v>8496</v>
      </c>
      <c r="P155" s="2" t="s">
        <v>70</v>
      </c>
      <c r="Q155" s="3">
        <v>0.8</v>
      </c>
      <c r="R155" s="2" t="s">
        <v>935</v>
      </c>
    </row>
    <row r="156" spans="1:18" ht="15" customHeight="1" x14ac:dyDescent="0.25">
      <c r="A156" s="2">
        <v>155</v>
      </c>
      <c r="B156" s="2" t="s">
        <v>936</v>
      </c>
      <c r="C156" s="2" t="s">
        <v>619</v>
      </c>
      <c r="D156" s="2" t="s">
        <v>841</v>
      </c>
      <c r="E156" s="2" t="s">
        <v>33</v>
      </c>
      <c r="F156" s="2" t="s">
        <v>22</v>
      </c>
      <c r="G156" s="2" t="s">
        <v>23</v>
      </c>
      <c r="H156" s="2" t="s">
        <v>937</v>
      </c>
      <c r="I156" s="2">
        <v>6559346003</v>
      </c>
      <c r="J156" s="2" t="s">
        <v>938</v>
      </c>
      <c r="K156" s="2" t="s">
        <v>58</v>
      </c>
      <c r="L156" s="2">
        <v>7839369897</v>
      </c>
      <c r="M156" s="2" t="s">
        <v>59</v>
      </c>
      <c r="N156" s="2" t="s">
        <v>289</v>
      </c>
      <c r="O156" s="2">
        <v>6131</v>
      </c>
      <c r="P156" s="2" t="s">
        <v>29</v>
      </c>
      <c r="Q156" s="3">
        <v>0.88</v>
      </c>
      <c r="R156" s="2" t="s">
        <v>939</v>
      </c>
    </row>
    <row r="157" spans="1:18" ht="15" customHeight="1" x14ac:dyDescent="0.25">
      <c r="A157" s="2">
        <v>156</v>
      </c>
      <c r="B157" s="2" t="s">
        <v>940</v>
      </c>
      <c r="C157" s="2" t="s">
        <v>619</v>
      </c>
      <c r="D157" s="2" t="s">
        <v>720</v>
      </c>
      <c r="E157" s="2" t="s">
        <v>55</v>
      </c>
      <c r="F157" s="2" t="s">
        <v>22</v>
      </c>
      <c r="G157" s="2" t="s">
        <v>102</v>
      </c>
      <c r="H157" s="2" t="s">
        <v>941</v>
      </c>
      <c r="I157" s="2">
        <v>6855590022</v>
      </c>
      <c r="J157" s="2" t="s">
        <v>942</v>
      </c>
      <c r="K157" s="2" t="s">
        <v>943</v>
      </c>
      <c r="L157" s="2">
        <v>6101166414</v>
      </c>
      <c r="M157" s="2" t="s">
        <v>944</v>
      </c>
      <c r="N157" s="2" t="s">
        <v>99</v>
      </c>
      <c r="O157" s="2">
        <v>11224</v>
      </c>
      <c r="P157" s="2" t="s">
        <v>70</v>
      </c>
      <c r="Q157" s="3">
        <v>0.66</v>
      </c>
      <c r="R157" s="2" t="s">
        <v>945</v>
      </c>
    </row>
    <row r="158" spans="1:18" ht="15" customHeight="1" x14ac:dyDescent="0.25">
      <c r="A158" s="2">
        <v>157</v>
      </c>
      <c r="B158" s="2" t="s">
        <v>946</v>
      </c>
      <c r="C158" s="2" t="s">
        <v>619</v>
      </c>
      <c r="D158" s="2" t="s">
        <v>673</v>
      </c>
      <c r="E158" s="2" t="s">
        <v>33</v>
      </c>
      <c r="F158" s="2" t="s">
        <v>34</v>
      </c>
      <c r="G158" s="2" t="s">
        <v>35</v>
      </c>
      <c r="H158" s="2" t="s">
        <v>947</v>
      </c>
      <c r="I158" s="2">
        <v>7511318205</v>
      </c>
      <c r="J158" s="2" t="s">
        <v>83</v>
      </c>
      <c r="K158" s="2" t="s">
        <v>948</v>
      </c>
      <c r="L158" s="2">
        <v>6884651200</v>
      </c>
      <c r="M158" s="2" t="s">
        <v>949</v>
      </c>
      <c r="N158" s="2" t="s">
        <v>28</v>
      </c>
      <c r="O158" s="2">
        <v>9010</v>
      </c>
      <c r="P158" s="2" t="s">
        <v>29</v>
      </c>
      <c r="Q158" s="3">
        <v>0.74</v>
      </c>
      <c r="R158" s="2" t="s">
        <v>950</v>
      </c>
    </row>
    <row r="159" spans="1:18" ht="15" customHeight="1" x14ac:dyDescent="0.25">
      <c r="A159" s="2">
        <v>158</v>
      </c>
      <c r="B159" s="2" t="s">
        <v>951</v>
      </c>
      <c r="C159" s="2" t="s">
        <v>619</v>
      </c>
      <c r="D159" s="2" t="s">
        <v>666</v>
      </c>
      <c r="E159" s="2" t="s">
        <v>21</v>
      </c>
      <c r="F159" s="2" t="s">
        <v>22</v>
      </c>
      <c r="G159" s="2" t="s">
        <v>102</v>
      </c>
      <c r="H159" s="2" t="s">
        <v>952</v>
      </c>
      <c r="I159" s="2">
        <v>7572553155</v>
      </c>
      <c r="J159" s="2" t="s">
        <v>953</v>
      </c>
      <c r="K159" s="2" t="s">
        <v>954</v>
      </c>
      <c r="L159" s="2">
        <v>8875705487</v>
      </c>
      <c r="M159" s="2" t="s">
        <v>955</v>
      </c>
      <c r="N159" s="2" t="s">
        <v>161</v>
      </c>
      <c r="O159" s="2">
        <v>6770</v>
      </c>
      <c r="P159" s="2" t="s">
        <v>41</v>
      </c>
      <c r="Q159" s="3">
        <v>0.9</v>
      </c>
      <c r="R159" s="2" t="s">
        <v>956</v>
      </c>
    </row>
    <row r="160" spans="1:18" ht="15" customHeight="1" x14ac:dyDescent="0.25">
      <c r="A160" s="2">
        <v>159</v>
      </c>
      <c r="B160" s="2" t="s">
        <v>957</v>
      </c>
      <c r="C160" s="2" t="s">
        <v>619</v>
      </c>
      <c r="D160" s="2" t="s">
        <v>673</v>
      </c>
      <c r="E160" s="2" t="s">
        <v>55</v>
      </c>
      <c r="F160" s="2" t="s">
        <v>22</v>
      </c>
      <c r="G160" s="2" t="s">
        <v>45</v>
      </c>
      <c r="H160" s="2" t="s">
        <v>958</v>
      </c>
      <c r="I160" s="2">
        <v>7366058599</v>
      </c>
      <c r="J160" s="2" t="s">
        <v>959</v>
      </c>
      <c r="K160" s="2" t="s">
        <v>960</v>
      </c>
      <c r="L160" s="2">
        <v>8792156071</v>
      </c>
      <c r="M160" s="2" t="s">
        <v>961</v>
      </c>
      <c r="N160" s="2" t="s">
        <v>84</v>
      </c>
      <c r="O160" s="2">
        <v>4059</v>
      </c>
      <c r="P160" s="2" t="s">
        <v>51</v>
      </c>
      <c r="Q160" s="3">
        <v>0.94</v>
      </c>
      <c r="R160" s="2" t="s">
        <v>368</v>
      </c>
    </row>
    <row r="161" spans="1:18" ht="15" customHeight="1" x14ac:dyDescent="0.25">
      <c r="A161" s="2">
        <v>160</v>
      </c>
      <c r="B161" s="2" t="s">
        <v>962</v>
      </c>
      <c r="C161" s="2" t="s">
        <v>619</v>
      </c>
      <c r="D161" s="2" t="s">
        <v>727</v>
      </c>
      <c r="E161" s="2" t="s">
        <v>21</v>
      </c>
      <c r="F161" s="2" t="s">
        <v>22</v>
      </c>
      <c r="G161" s="2" t="s">
        <v>35</v>
      </c>
      <c r="H161" s="2" t="s">
        <v>963</v>
      </c>
      <c r="I161" s="2">
        <v>6941600554</v>
      </c>
      <c r="J161" s="2" t="s">
        <v>964</v>
      </c>
      <c r="K161" s="2" t="s">
        <v>213</v>
      </c>
      <c r="L161" s="2">
        <v>7631381642</v>
      </c>
      <c r="M161" s="2" t="s">
        <v>214</v>
      </c>
      <c r="N161" s="2" t="s">
        <v>202</v>
      </c>
      <c r="O161" s="2">
        <v>11812</v>
      </c>
      <c r="P161" s="2" t="s">
        <v>51</v>
      </c>
      <c r="Q161" s="3">
        <v>0.91</v>
      </c>
      <c r="R161" s="2" t="s">
        <v>965</v>
      </c>
    </row>
    <row r="162" spans="1:18" ht="15" customHeight="1" x14ac:dyDescent="0.25">
      <c r="A162" s="2">
        <v>161</v>
      </c>
      <c r="B162" s="2" t="s">
        <v>966</v>
      </c>
      <c r="C162" s="2" t="s">
        <v>619</v>
      </c>
      <c r="D162" s="2" t="s">
        <v>760</v>
      </c>
      <c r="E162" s="2" t="s">
        <v>33</v>
      </c>
      <c r="F162" s="2" t="s">
        <v>22</v>
      </c>
      <c r="G162" s="2" t="s">
        <v>156</v>
      </c>
      <c r="H162" s="2" t="s">
        <v>967</v>
      </c>
      <c r="I162" s="2">
        <v>6114810579</v>
      </c>
      <c r="J162" s="2" t="s">
        <v>422</v>
      </c>
      <c r="K162" s="2" t="s">
        <v>968</v>
      </c>
      <c r="L162" s="2">
        <v>8331652222</v>
      </c>
      <c r="M162" s="2" t="s">
        <v>453</v>
      </c>
      <c r="N162" s="2" t="s">
        <v>215</v>
      </c>
      <c r="O162" s="2">
        <v>6416</v>
      </c>
      <c r="P162" s="2" t="s">
        <v>70</v>
      </c>
      <c r="Q162" s="3">
        <v>0.61</v>
      </c>
      <c r="R162" s="2" t="s">
        <v>777</v>
      </c>
    </row>
    <row r="163" spans="1:18" ht="15" customHeight="1" x14ac:dyDescent="0.25">
      <c r="A163" s="2">
        <v>162</v>
      </c>
      <c r="B163" s="2" t="s">
        <v>969</v>
      </c>
      <c r="C163" s="2" t="s">
        <v>619</v>
      </c>
      <c r="D163" s="2" t="s">
        <v>640</v>
      </c>
      <c r="E163" s="2" t="s">
        <v>55</v>
      </c>
      <c r="F163" s="2" t="s">
        <v>22</v>
      </c>
      <c r="G163" s="2" t="s">
        <v>35</v>
      </c>
      <c r="H163" s="2" t="s">
        <v>970</v>
      </c>
      <c r="I163" s="2">
        <v>8519544755</v>
      </c>
      <c r="J163" s="2" t="s">
        <v>971</v>
      </c>
      <c r="K163" s="2" t="s">
        <v>972</v>
      </c>
      <c r="L163" s="2">
        <v>6433041955</v>
      </c>
      <c r="M163" s="2" t="s">
        <v>973</v>
      </c>
      <c r="N163" s="2" t="s">
        <v>462</v>
      </c>
      <c r="O163" s="2">
        <v>7439</v>
      </c>
      <c r="P163" s="2" t="s">
        <v>29</v>
      </c>
      <c r="Q163" s="3">
        <v>0.72</v>
      </c>
      <c r="R163" s="2" t="s">
        <v>638</v>
      </c>
    </row>
    <row r="164" spans="1:18" ht="15" customHeight="1" x14ac:dyDescent="0.25">
      <c r="A164" s="2">
        <v>163</v>
      </c>
      <c r="B164" s="2" t="s">
        <v>974</v>
      </c>
      <c r="C164" s="2" t="s">
        <v>619</v>
      </c>
      <c r="D164" s="2" t="s">
        <v>760</v>
      </c>
      <c r="E164" s="2" t="s">
        <v>21</v>
      </c>
      <c r="F164" s="2" t="s">
        <v>34</v>
      </c>
      <c r="G164" s="2" t="s">
        <v>45</v>
      </c>
      <c r="H164" s="2" t="s">
        <v>975</v>
      </c>
      <c r="I164" s="2">
        <v>9472271797</v>
      </c>
      <c r="J164" s="2" t="s">
        <v>976</v>
      </c>
      <c r="K164" s="2" t="s">
        <v>977</v>
      </c>
      <c r="L164" s="2">
        <v>8279275105</v>
      </c>
      <c r="M164" s="2" t="s">
        <v>978</v>
      </c>
      <c r="N164" s="2" t="s">
        <v>50</v>
      </c>
      <c r="O164" s="2">
        <v>7928</v>
      </c>
      <c r="P164" s="2" t="s">
        <v>139</v>
      </c>
      <c r="Q164" s="3">
        <v>0.81</v>
      </c>
      <c r="R164" s="2" t="s">
        <v>886</v>
      </c>
    </row>
    <row r="165" spans="1:18" ht="15" customHeight="1" x14ac:dyDescent="0.25">
      <c r="A165" s="2">
        <v>164</v>
      </c>
      <c r="B165" s="2" t="s">
        <v>979</v>
      </c>
      <c r="C165" s="2" t="s">
        <v>619</v>
      </c>
      <c r="D165" s="2" t="s">
        <v>659</v>
      </c>
      <c r="E165" s="2" t="s">
        <v>55</v>
      </c>
      <c r="F165" s="2" t="s">
        <v>22</v>
      </c>
      <c r="G165" s="2" t="s">
        <v>156</v>
      </c>
      <c r="H165" s="2" t="s">
        <v>980</v>
      </c>
      <c r="I165" s="2">
        <v>7494801749</v>
      </c>
      <c r="J165" s="2" t="s">
        <v>981</v>
      </c>
      <c r="K165" s="2" t="s">
        <v>982</v>
      </c>
      <c r="L165" s="2">
        <v>7373928805</v>
      </c>
      <c r="M165" s="2" t="s">
        <v>983</v>
      </c>
      <c r="N165" s="2" t="s">
        <v>146</v>
      </c>
      <c r="O165" s="2">
        <v>7534</v>
      </c>
      <c r="P165" s="2" t="s">
        <v>70</v>
      </c>
      <c r="Q165" s="3">
        <v>0.78</v>
      </c>
      <c r="R165" s="2" t="s">
        <v>771</v>
      </c>
    </row>
    <row r="166" spans="1:18" ht="15" customHeight="1" x14ac:dyDescent="0.25">
      <c r="A166" s="2">
        <v>165</v>
      </c>
      <c r="B166" s="2" t="s">
        <v>984</v>
      </c>
      <c r="C166" s="2" t="s">
        <v>619</v>
      </c>
      <c r="D166" s="2" t="s">
        <v>754</v>
      </c>
      <c r="E166" s="2" t="s">
        <v>55</v>
      </c>
      <c r="F166" s="2" t="s">
        <v>22</v>
      </c>
      <c r="G166" s="2" t="s">
        <v>23</v>
      </c>
      <c r="H166" s="2" t="s">
        <v>985</v>
      </c>
      <c r="I166" s="2">
        <v>9341071485</v>
      </c>
      <c r="J166" s="2" t="s">
        <v>986</v>
      </c>
      <c r="K166" s="2" t="s">
        <v>987</v>
      </c>
      <c r="L166" s="2">
        <v>8366570563</v>
      </c>
      <c r="M166" s="2" t="s">
        <v>988</v>
      </c>
      <c r="N166" s="2" t="s">
        <v>215</v>
      </c>
      <c r="O166" s="2">
        <v>1221</v>
      </c>
      <c r="P166" s="2" t="s">
        <v>41</v>
      </c>
      <c r="Q166" s="3">
        <v>0.92</v>
      </c>
      <c r="R166" s="2" t="s">
        <v>912</v>
      </c>
    </row>
    <row r="167" spans="1:18" ht="15" customHeight="1" x14ac:dyDescent="0.25">
      <c r="A167" s="2">
        <v>166</v>
      </c>
      <c r="B167" s="2" t="s">
        <v>989</v>
      </c>
      <c r="C167" s="2" t="s">
        <v>619</v>
      </c>
      <c r="D167" s="2" t="s">
        <v>659</v>
      </c>
      <c r="E167" s="2" t="s">
        <v>21</v>
      </c>
      <c r="F167" s="2" t="s">
        <v>22</v>
      </c>
      <c r="G167" s="2" t="s">
        <v>156</v>
      </c>
      <c r="H167" s="2" t="s">
        <v>990</v>
      </c>
      <c r="I167" s="2">
        <v>9108556837</v>
      </c>
      <c r="J167" s="2" t="s">
        <v>371</v>
      </c>
      <c r="K167" s="2" t="s">
        <v>466</v>
      </c>
      <c r="L167" s="2">
        <v>8315469014</v>
      </c>
      <c r="M167" s="2" t="s">
        <v>991</v>
      </c>
      <c r="N167" s="2" t="s">
        <v>271</v>
      </c>
      <c r="O167" s="2">
        <v>3438</v>
      </c>
      <c r="P167" s="2" t="s">
        <v>61</v>
      </c>
      <c r="Q167" s="3">
        <v>0.9</v>
      </c>
      <c r="R167" s="2" t="s">
        <v>789</v>
      </c>
    </row>
    <row r="168" spans="1:18" ht="15" customHeight="1" x14ac:dyDescent="0.25">
      <c r="A168" s="2">
        <v>167</v>
      </c>
      <c r="B168" s="2" t="s">
        <v>992</v>
      </c>
      <c r="C168" s="2" t="s">
        <v>619</v>
      </c>
      <c r="D168" s="2" t="s">
        <v>841</v>
      </c>
      <c r="E168" s="2" t="s">
        <v>55</v>
      </c>
      <c r="F168" s="2" t="s">
        <v>22</v>
      </c>
      <c r="G168" s="2" t="s">
        <v>45</v>
      </c>
      <c r="H168" s="2" t="s">
        <v>993</v>
      </c>
      <c r="I168" s="2">
        <v>8782837348</v>
      </c>
      <c r="J168" s="2" t="s">
        <v>994</v>
      </c>
      <c r="K168" s="2" t="s">
        <v>995</v>
      </c>
      <c r="L168" s="2">
        <v>6459722166</v>
      </c>
      <c r="M168" s="2" t="s">
        <v>996</v>
      </c>
      <c r="N168" s="2" t="s">
        <v>60</v>
      </c>
      <c r="O168" s="2">
        <v>10194</v>
      </c>
      <c r="P168" s="2" t="s">
        <v>77</v>
      </c>
      <c r="Q168" s="3">
        <v>0.98</v>
      </c>
      <c r="R168" s="2" t="s">
        <v>739</v>
      </c>
    </row>
    <row r="169" spans="1:18" ht="15" customHeight="1" x14ac:dyDescent="0.25">
      <c r="A169" s="2">
        <v>168</v>
      </c>
      <c r="B169" s="2" t="s">
        <v>997</v>
      </c>
      <c r="C169" s="2" t="s">
        <v>619</v>
      </c>
      <c r="D169" s="2" t="s">
        <v>841</v>
      </c>
      <c r="E169" s="2" t="s">
        <v>21</v>
      </c>
      <c r="F169" s="2" t="s">
        <v>34</v>
      </c>
      <c r="G169" s="2" t="s">
        <v>23</v>
      </c>
      <c r="H169" s="2" t="s">
        <v>970</v>
      </c>
      <c r="I169" s="2">
        <v>8592265554</v>
      </c>
      <c r="J169" s="2" t="s">
        <v>998</v>
      </c>
      <c r="K169" s="2" t="s">
        <v>541</v>
      </c>
      <c r="L169" s="2">
        <v>6723597716</v>
      </c>
      <c r="M169" s="2" t="s">
        <v>999</v>
      </c>
      <c r="N169" s="2" t="s">
        <v>462</v>
      </c>
      <c r="O169" s="2">
        <v>8561</v>
      </c>
      <c r="P169" s="2" t="s">
        <v>51</v>
      </c>
      <c r="Q169" s="3">
        <v>0.97</v>
      </c>
      <c r="R169" s="2" t="s">
        <v>625</v>
      </c>
    </row>
    <row r="170" spans="1:18" ht="15" customHeight="1" x14ac:dyDescent="0.25">
      <c r="A170" s="2">
        <v>169</v>
      </c>
      <c r="B170" s="2" t="s">
        <v>1000</v>
      </c>
      <c r="C170" s="2" t="s">
        <v>619</v>
      </c>
      <c r="D170" s="2" t="s">
        <v>720</v>
      </c>
      <c r="E170" s="2" t="s">
        <v>55</v>
      </c>
      <c r="F170" s="2" t="s">
        <v>22</v>
      </c>
      <c r="G170" s="2" t="s">
        <v>156</v>
      </c>
      <c r="H170" s="2" t="s">
        <v>1001</v>
      </c>
      <c r="I170" s="2">
        <v>8350838144</v>
      </c>
      <c r="J170" s="2" t="s">
        <v>1002</v>
      </c>
      <c r="K170" s="2" t="s">
        <v>496</v>
      </c>
      <c r="L170" s="2">
        <v>6317661025</v>
      </c>
      <c r="M170" s="2" t="s">
        <v>1003</v>
      </c>
      <c r="N170" s="2" t="s">
        <v>271</v>
      </c>
      <c r="O170" s="2">
        <v>7626</v>
      </c>
      <c r="P170" s="2" t="s">
        <v>29</v>
      </c>
      <c r="Q170" s="3">
        <v>0.96</v>
      </c>
      <c r="R170" s="2" t="s">
        <v>664</v>
      </c>
    </row>
    <row r="171" spans="1:18" ht="15" customHeight="1" x14ac:dyDescent="0.25">
      <c r="A171" s="2">
        <v>170</v>
      </c>
      <c r="B171" s="2" t="s">
        <v>1004</v>
      </c>
      <c r="C171" s="2" t="s">
        <v>619</v>
      </c>
      <c r="D171" s="2" t="s">
        <v>666</v>
      </c>
      <c r="E171" s="2" t="s">
        <v>21</v>
      </c>
      <c r="F171" s="2" t="s">
        <v>34</v>
      </c>
      <c r="G171" s="2" t="s">
        <v>45</v>
      </c>
      <c r="H171" s="2" t="s">
        <v>1005</v>
      </c>
      <c r="I171" s="2">
        <v>7967150570</v>
      </c>
      <c r="J171" s="2" t="s">
        <v>1006</v>
      </c>
      <c r="K171" s="2" t="s">
        <v>1007</v>
      </c>
      <c r="L171" s="2">
        <v>8987325945</v>
      </c>
      <c r="M171" s="2" t="s">
        <v>1008</v>
      </c>
      <c r="N171" s="2" t="s">
        <v>84</v>
      </c>
      <c r="O171" s="2">
        <v>5645</v>
      </c>
      <c r="P171" s="2" t="s">
        <v>77</v>
      </c>
      <c r="Q171" s="3">
        <v>0.6</v>
      </c>
      <c r="R171" s="2" t="s">
        <v>678</v>
      </c>
    </row>
    <row r="172" spans="1:18" ht="15" customHeight="1" x14ac:dyDescent="0.25">
      <c r="A172" s="2">
        <v>171</v>
      </c>
      <c r="B172" s="2" t="s">
        <v>1009</v>
      </c>
      <c r="C172" s="2" t="s">
        <v>619</v>
      </c>
      <c r="D172" s="2" t="s">
        <v>627</v>
      </c>
      <c r="E172" s="2" t="s">
        <v>21</v>
      </c>
      <c r="F172" s="2" t="s">
        <v>22</v>
      </c>
      <c r="G172" s="2" t="s">
        <v>102</v>
      </c>
      <c r="H172" s="2" t="s">
        <v>1010</v>
      </c>
      <c r="I172" s="2">
        <v>6534212844</v>
      </c>
      <c r="J172" s="2" t="s">
        <v>1011</v>
      </c>
      <c r="K172" s="2" t="s">
        <v>1012</v>
      </c>
      <c r="L172" s="2">
        <v>9696950800</v>
      </c>
      <c r="M172" s="2" t="s">
        <v>1013</v>
      </c>
      <c r="N172" s="2" t="s">
        <v>161</v>
      </c>
      <c r="O172" s="2">
        <v>1994</v>
      </c>
      <c r="P172" s="2" t="s">
        <v>29</v>
      </c>
      <c r="Q172" s="3">
        <v>0.66</v>
      </c>
      <c r="R172" s="2" t="s">
        <v>890</v>
      </c>
    </row>
    <row r="173" spans="1:18" ht="15" customHeight="1" x14ac:dyDescent="0.25">
      <c r="A173" s="2">
        <v>172</v>
      </c>
      <c r="B173" s="2" t="s">
        <v>1014</v>
      </c>
      <c r="C173" s="2" t="s">
        <v>619</v>
      </c>
      <c r="D173" s="2" t="s">
        <v>760</v>
      </c>
      <c r="E173" s="2" t="s">
        <v>21</v>
      </c>
      <c r="F173" s="2" t="s">
        <v>22</v>
      </c>
      <c r="G173" s="2" t="s">
        <v>23</v>
      </c>
      <c r="H173" s="2" t="s">
        <v>1015</v>
      </c>
      <c r="I173" s="2">
        <v>8972680546</v>
      </c>
      <c r="J173" s="2" t="s">
        <v>199</v>
      </c>
      <c r="K173" s="2" t="s">
        <v>511</v>
      </c>
      <c r="L173" s="2">
        <v>6123407763</v>
      </c>
      <c r="M173" s="2" t="s">
        <v>512</v>
      </c>
      <c r="N173" s="2" t="s">
        <v>50</v>
      </c>
      <c r="O173" s="2">
        <v>695</v>
      </c>
      <c r="P173" s="2" t="s">
        <v>51</v>
      </c>
      <c r="Q173" s="3">
        <v>0.91</v>
      </c>
      <c r="R173" s="2" t="s">
        <v>902</v>
      </c>
    </row>
    <row r="174" spans="1:18" ht="15" customHeight="1" x14ac:dyDescent="0.25">
      <c r="A174" s="2">
        <v>173</v>
      </c>
      <c r="B174" s="2" t="s">
        <v>1016</v>
      </c>
      <c r="C174" s="2" t="s">
        <v>619</v>
      </c>
      <c r="D174" s="2" t="s">
        <v>747</v>
      </c>
      <c r="E174" s="2" t="s">
        <v>21</v>
      </c>
      <c r="F174" s="2" t="s">
        <v>34</v>
      </c>
      <c r="G174" s="2" t="s">
        <v>102</v>
      </c>
      <c r="H174" s="2" t="s">
        <v>1017</v>
      </c>
      <c r="I174" s="2">
        <v>7300951978</v>
      </c>
      <c r="J174" s="2" t="s">
        <v>927</v>
      </c>
      <c r="K174" s="2" t="s">
        <v>1018</v>
      </c>
      <c r="L174" s="2">
        <v>8400491536</v>
      </c>
      <c r="M174" s="2" t="s">
        <v>1019</v>
      </c>
      <c r="N174" s="2" t="s">
        <v>50</v>
      </c>
      <c r="O174" s="2">
        <v>1199</v>
      </c>
      <c r="P174" s="2" t="s">
        <v>77</v>
      </c>
      <c r="Q174" s="3">
        <v>0.56999999999999995</v>
      </c>
      <c r="R174" s="2" t="s">
        <v>650</v>
      </c>
    </row>
    <row r="175" spans="1:18" ht="15" customHeight="1" x14ac:dyDescent="0.25">
      <c r="A175" s="2">
        <v>174</v>
      </c>
      <c r="B175" s="2" t="s">
        <v>1020</v>
      </c>
      <c r="C175" s="2" t="s">
        <v>619</v>
      </c>
      <c r="D175" s="2" t="s">
        <v>627</v>
      </c>
      <c r="E175" s="2" t="s">
        <v>55</v>
      </c>
      <c r="F175" s="2" t="s">
        <v>22</v>
      </c>
      <c r="G175" s="2" t="s">
        <v>23</v>
      </c>
      <c r="H175" s="2" t="s">
        <v>1021</v>
      </c>
      <c r="I175" s="2">
        <v>7777267364</v>
      </c>
      <c r="J175" s="2" t="s">
        <v>1022</v>
      </c>
      <c r="K175" s="2" t="s">
        <v>1023</v>
      </c>
      <c r="L175" s="2">
        <v>6510704185</v>
      </c>
      <c r="M175" s="2" t="s">
        <v>1024</v>
      </c>
      <c r="N175" s="2" t="s">
        <v>202</v>
      </c>
      <c r="O175" s="2">
        <v>8673</v>
      </c>
      <c r="P175" s="2" t="s">
        <v>77</v>
      </c>
      <c r="Q175" s="3">
        <v>0.93</v>
      </c>
      <c r="R175" s="2" t="s">
        <v>800</v>
      </c>
    </row>
    <row r="176" spans="1:18" ht="15" customHeight="1" x14ac:dyDescent="0.25">
      <c r="A176" s="2">
        <v>175</v>
      </c>
      <c r="B176" s="2" t="s">
        <v>1025</v>
      </c>
      <c r="C176" s="2" t="s">
        <v>619</v>
      </c>
      <c r="D176" s="2" t="s">
        <v>646</v>
      </c>
      <c r="E176" s="2" t="s">
        <v>55</v>
      </c>
      <c r="F176" s="2" t="s">
        <v>22</v>
      </c>
      <c r="G176" s="2" t="s">
        <v>102</v>
      </c>
      <c r="H176" s="2" t="s">
        <v>1026</v>
      </c>
      <c r="I176" s="2">
        <v>7271395839</v>
      </c>
      <c r="J176" s="2" t="s">
        <v>1027</v>
      </c>
      <c r="K176" s="2" t="s">
        <v>1028</v>
      </c>
      <c r="L176" s="2">
        <v>6366134484</v>
      </c>
      <c r="M176" s="2" t="s">
        <v>1029</v>
      </c>
      <c r="N176" s="2" t="s">
        <v>146</v>
      </c>
      <c r="O176" s="2">
        <v>6863</v>
      </c>
      <c r="P176" s="2" t="s">
        <v>70</v>
      </c>
      <c r="Q176" s="3">
        <v>0.63</v>
      </c>
      <c r="R176" s="2" t="s">
        <v>918</v>
      </c>
    </row>
    <row r="177" spans="1:18" ht="15" customHeight="1" x14ac:dyDescent="0.25">
      <c r="A177" s="2">
        <v>176</v>
      </c>
      <c r="B177" s="2" t="s">
        <v>1030</v>
      </c>
      <c r="C177" s="2" t="s">
        <v>619</v>
      </c>
      <c r="D177" s="2" t="s">
        <v>659</v>
      </c>
      <c r="E177" s="2" t="s">
        <v>55</v>
      </c>
      <c r="F177" s="2" t="s">
        <v>22</v>
      </c>
      <c r="G177" s="2" t="s">
        <v>156</v>
      </c>
      <c r="H177" s="2" t="s">
        <v>1031</v>
      </c>
      <c r="I177" s="2">
        <v>6855326778</v>
      </c>
      <c r="J177" s="2" t="s">
        <v>1032</v>
      </c>
      <c r="K177" s="2" t="s">
        <v>1033</v>
      </c>
      <c r="L177" s="2">
        <v>8709511014</v>
      </c>
      <c r="M177" s="2" t="s">
        <v>1034</v>
      </c>
      <c r="N177" s="2" t="s">
        <v>28</v>
      </c>
      <c r="O177" s="2">
        <v>9932</v>
      </c>
      <c r="P177" s="2" t="s">
        <v>41</v>
      </c>
      <c r="Q177" s="3">
        <v>0.97</v>
      </c>
      <c r="R177" s="2" t="s">
        <v>876</v>
      </c>
    </row>
    <row r="178" spans="1:18" ht="15" customHeight="1" x14ac:dyDescent="0.25">
      <c r="A178" s="2">
        <v>177</v>
      </c>
      <c r="B178" s="2" t="s">
        <v>1035</v>
      </c>
      <c r="C178" s="2" t="s">
        <v>619</v>
      </c>
      <c r="D178" s="2" t="s">
        <v>754</v>
      </c>
      <c r="E178" s="2" t="s">
        <v>21</v>
      </c>
      <c r="F178" s="2" t="s">
        <v>22</v>
      </c>
      <c r="G178" s="2" t="s">
        <v>45</v>
      </c>
      <c r="H178" s="2" t="s">
        <v>1036</v>
      </c>
      <c r="I178" s="2">
        <v>8759422189</v>
      </c>
      <c r="J178" s="2" t="s">
        <v>1037</v>
      </c>
      <c r="K178" s="2" t="s">
        <v>1038</v>
      </c>
      <c r="L178" s="2">
        <v>7965914172</v>
      </c>
      <c r="M178" s="2" t="s">
        <v>1039</v>
      </c>
      <c r="N178" s="2" t="s">
        <v>202</v>
      </c>
      <c r="O178" s="2">
        <v>3376</v>
      </c>
      <c r="P178" s="2" t="s">
        <v>77</v>
      </c>
      <c r="Q178" s="3">
        <v>0.56999999999999995</v>
      </c>
      <c r="R178" s="2" t="s">
        <v>846</v>
      </c>
    </row>
    <row r="179" spans="1:18" ht="15" customHeight="1" x14ac:dyDescent="0.25">
      <c r="A179" s="2">
        <v>178</v>
      </c>
      <c r="B179" s="2" t="s">
        <v>1040</v>
      </c>
      <c r="C179" s="2" t="s">
        <v>619</v>
      </c>
      <c r="D179" s="2" t="s">
        <v>734</v>
      </c>
      <c r="E179" s="2" t="s">
        <v>33</v>
      </c>
      <c r="F179" s="2" t="s">
        <v>34</v>
      </c>
      <c r="G179" s="2" t="s">
        <v>23</v>
      </c>
      <c r="H179" s="2" t="s">
        <v>842</v>
      </c>
      <c r="I179" s="2">
        <v>8424017866</v>
      </c>
      <c r="J179" s="2" t="s">
        <v>1041</v>
      </c>
      <c r="K179" s="2" t="s">
        <v>1042</v>
      </c>
      <c r="L179" s="2">
        <v>8246513857</v>
      </c>
      <c r="M179" s="2" t="s">
        <v>889</v>
      </c>
      <c r="N179" s="2" t="s">
        <v>161</v>
      </c>
      <c r="O179" s="2">
        <v>2317</v>
      </c>
      <c r="P179" s="2" t="s">
        <v>41</v>
      </c>
      <c r="Q179" s="3">
        <v>0.78</v>
      </c>
      <c r="R179" s="2" t="s">
        <v>678</v>
      </c>
    </row>
    <row r="180" spans="1:18" ht="15" customHeight="1" x14ac:dyDescent="0.25">
      <c r="A180" s="2">
        <v>179</v>
      </c>
      <c r="B180" s="2" t="s">
        <v>1043</v>
      </c>
      <c r="C180" s="2" t="s">
        <v>619</v>
      </c>
      <c r="D180" s="2" t="s">
        <v>646</v>
      </c>
      <c r="E180" s="2" t="s">
        <v>55</v>
      </c>
      <c r="F180" s="2" t="s">
        <v>22</v>
      </c>
      <c r="G180" s="2" t="s">
        <v>35</v>
      </c>
      <c r="H180" s="2" t="s">
        <v>1044</v>
      </c>
      <c r="I180" s="2">
        <v>6853775825</v>
      </c>
      <c r="J180" s="2" t="s">
        <v>1045</v>
      </c>
      <c r="K180" s="2" t="s">
        <v>1046</v>
      </c>
      <c r="L180" s="2">
        <v>9927672827</v>
      </c>
      <c r="M180" s="2" t="s">
        <v>1047</v>
      </c>
      <c r="N180" s="2" t="s">
        <v>60</v>
      </c>
      <c r="O180" s="2">
        <v>4157</v>
      </c>
      <c r="P180" s="2" t="s">
        <v>29</v>
      </c>
      <c r="Q180" s="3">
        <v>0.8</v>
      </c>
      <c r="R180" s="2" t="s">
        <v>690</v>
      </c>
    </row>
    <row r="181" spans="1:18" ht="15" customHeight="1" x14ac:dyDescent="0.25">
      <c r="A181" s="2">
        <v>180</v>
      </c>
      <c r="B181" s="2" t="s">
        <v>1048</v>
      </c>
      <c r="C181" s="2" t="s">
        <v>619</v>
      </c>
      <c r="D181" s="2" t="s">
        <v>734</v>
      </c>
      <c r="E181" s="2" t="s">
        <v>55</v>
      </c>
      <c r="F181" s="2" t="s">
        <v>22</v>
      </c>
      <c r="G181" s="2" t="s">
        <v>35</v>
      </c>
      <c r="H181" s="2" t="s">
        <v>1049</v>
      </c>
      <c r="I181" s="2">
        <v>7783100341</v>
      </c>
      <c r="J181" s="2" t="s">
        <v>1050</v>
      </c>
      <c r="K181" s="2" t="s">
        <v>1051</v>
      </c>
      <c r="L181" s="2">
        <v>6982252644</v>
      </c>
      <c r="M181" s="2" t="s">
        <v>1052</v>
      </c>
      <c r="N181" s="2" t="s">
        <v>28</v>
      </c>
      <c r="O181" s="2">
        <v>10979</v>
      </c>
      <c r="P181" s="2" t="s">
        <v>139</v>
      </c>
      <c r="Q181" s="3">
        <v>0.59</v>
      </c>
      <c r="R181" s="2" t="s">
        <v>846</v>
      </c>
    </row>
    <row r="182" spans="1:18" ht="15" customHeight="1" x14ac:dyDescent="0.25">
      <c r="A182" s="2">
        <v>181</v>
      </c>
      <c r="B182" s="2" t="s">
        <v>1053</v>
      </c>
      <c r="C182" s="2" t="s">
        <v>619</v>
      </c>
      <c r="D182" s="2" t="s">
        <v>747</v>
      </c>
      <c r="E182" s="2" t="s">
        <v>21</v>
      </c>
      <c r="F182" s="2" t="s">
        <v>22</v>
      </c>
      <c r="G182" s="2" t="s">
        <v>23</v>
      </c>
      <c r="H182" s="2" t="s">
        <v>1054</v>
      </c>
      <c r="I182" s="2">
        <v>9506639535</v>
      </c>
      <c r="J182" s="2" t="s">
        <v>1055</v>
      </c>
      <c r="K182" s="2" t="s">
        <v>397</v>
      </c>
      <c r="L182" s="2">
        <v>8686288768</v>
      </c>
      <c r="M182" s="2" t="s">
        <v>1056</v>
      </c>
      <c r="N182" s="2" t="s">
        <v>99</v>
      </c>
      <c r="O182" s="2">
        <v>6242</v>
      </c>
      <c r="P182" s="2" t="s">
        <v>70</v>
      </c>
      <c r="Q182" s="3">
        <v>0.89</v>
      </c>
      <c r="R182" s="2" t="s">
        <v>890</v>
      </c>
    </row>
    <row r="183" spans="1:18" ht="15" customHeight="1" x14ac:dyDescent="0.25">
      <c r="A183" s="2">
        <v>182</v>
      </c>
      <c r="B183" s="2" t="s">
        <v>966</v>
      </c>
      <c r="C183" s="2" t="s">
        <v>619</v>
      </c>
      <c r="D183" s="2" t="s">
        <v>646</v>
      </c>
      <c r="E183" s="2" t="s">
        <v>55</v>
      </c>
      <c r="F183" s="2" t="s">
        <v>22</v>
      </c>
      <c r="G183" s="2" t="s">
        <v>23</v>
      </c>
      <c r="H183" s="2" t="s">
        <v>1057</v>
      </c>
      <c r="I183" s="2">
        <v>7503144836</v>
      </c>
      <c r="J183" s="2" t="s">
        <v>1058</v>
      </c>
      <c r="K183" s="2" t="s">
        <v>1059</v>
      </c>
      <c r="L183" s="2">
        <v>7885963005</v>
      </c>
      <c r="M183" s="2" t="s">
        <v>1060</v>
      </c>
      <c r="N183" s="2" t="s">
        <v>138</v>
      </c>
      <c r="O183" s="2">
        <v>7893</v>
      </c>
      <c r="P183" s="2" t="s">
        <v>51</v>
      </c>
      <c r="Q183" s="3">
        <v>0.89</v>
      </c>
      <c r="R183" s="2" t="s">
        <v>777</v>
      </c>
    </row>
    <row r="184" spans="1:18" ht="15" customHeight="1" x14ac:dyDescent="0.25">
      <c r="A184" s="2">
        <v>183</v>
      </c>
      <c r="B184" s="2" t="s">
        <v>1061</v>
      </c>
      <c r="C184" s="2" t="s">
        <v>619</v>
      </c>
      <c r="D184" s="2" t="s">
        <v>727</v>
      </c>
      <c r="E184" s="2" t="s">
        <v>33</v>
      </c>
      <c r="F184" s="2" t="s">
        <v>22</v>
      </c>
      <c r="G184" s="2" t="s">
        <v>35</v>
      </c>
      <c r="H184" s="2" t="s">
        <v>1062</v>
      </c>
      <c r="I184" s="2">
        <v>9848609261</v>
      </c>
      <c r="J184" s="2" t="s">
        <v>480</v>
      </c>
      <c r="K184" s="2" t="s">
        <v>1063</v>
      </c>
      <c r="L184" s="2">
        <v>8809311588</v>
      </c>
      <c r="M184" s="2" t="s">
        <v>1064</v>
      </c>
      <c r="N184" s="2" t="s">
        <v>289</v>
      </c>
      <c r="O184" s="2">
        <v>1007</v>
      </c>
      <c r="P184" s="2" t="s">
        <v>77</v>
      </c>
      <c r="Q184" s="3">
        <v>0.96</v>
      </c>
      <c r="R184" s="2" t="s">
        <v>650</v>
      </c>
    </row>
    <row r="185" spans="1:18" ht="15" customHeight="1" x14ac:dyDescent="0.25">
      <c r="A185" s="2">
        <v>184</v>
      </c>
      <c r="B185" s="2" t="s">
        <v>1065</v>
      </c>
      <c r="C185" s="2" t="s">
        <v>619</v>
      </c>
      <c r="D185" s="2" t="s">
        <v>760</v>
      </c>
      <c r="E185" s="2" t="s">
        <v>21</v>
      </c>
      <c r="F185" s="2" t="s">
        <v>34</v>
      </c>
      <c r="G185" s="2" t="s">
        <v>35</v>
      </c>
      <c r="H185" s="2" t="s">
        <v>1066</v>
      </c>
      <c r="I185" s="2">
        <v>6322214072</v>
      </c>
      <c r="J185" s="2" t="s">
        <v>208</v>
      </c>
      <c r="K185" s="2" t="s">
        <v>1067</v>
      </c>
      <c r="L185" s="2">
        <v>7785252000</v>
      </c>
      <c r="M185" s="2" t="s">
        <v>1068</v>
      </c>
      <c r="N185" s="2" t="s">
        <v>289</v>
      </c>
      <c r="O185" s="2">
        <v>3016</v>
      </c>
      <c r="P185" s="2" t="s">
        <v>51</v>
      </c>
      <c r="Q185" s="3">
        <v>0.71</v>
      </c>
      <c r="R185" s="2" t="s">
        <v>739</v>
      </c>
    </row>
    <row r="186" spans="1:18" ht="15" customHeight="1" x14ac:dyDescent="0.25">
      <c r="A186" s="2">
        <v>185</v>
      </c>
      <c r="B186" s="2" t="s">
        <v>1069</v>
      </c>
      <c r="C186" s="2" t="s">
        <v>619</v>
      </c>
      <c r="D186" s="2" t="s">
        <v>646</v>
      </c>
      <c r="E186" s="2" t="s">
        <v>21</v>
      </c>
      <c r="F186" s="2" t="s">
        <v>22</v>
      </c>
      <c r="G186" s="2" t="s">
        <v>45</v>
      </c>
      <c r="H186" s="2" t="s">
        <v>1070</v>
      </c>
      <c r="I186" s="2">
        <v>8572167680</v>
      </c>
      <c r="J186" s="2" t="s">
        <v>1071</v>
      </c>
      <c r="K186" s="2" t="s">
        <v>1072</v>
      </c>
      <c r="L186" s="2">
        <v>9382824466</v>
      </c>
      <c r="M186" s="2" t="s">
        <v>1073</v>
      </c>
      <c r="N186" s="2" t="s">
        <v>289</v>
      </c>
      <c r="O186" s="2">
        <v>8513</v>
      </c>
      <c r="P186" s="2" t="s">
        <v>29</v>
      </c>
      <c r="Q186" s="3">
        <v>0.66</v>
      </c>
      <c r="R186" s="2" t="s">
        <v>739</v>
      </c>
    </row>
    <row r="187" spans="1:18" ht="15" customHeight="1" x14ac:dyDescent="0.25">
      <c r="A187" s="2">
        <v>186</v>
      </c>
      <c r="B187" s="2" t="s">
        <v>1074</v>
      </c>
      <c r="C187" s="2" t="s">
        <v>619</v>
      </c>
      <c r="D187" s="2" t="s">
        <v>754</v>
      </c>
      <c r="E187" s="2" t="s">
        <v>21</v>
      </c>
      <c r="F187" s="2" t="s">
        <v>34</v>
      </c>
      <c r="G187" s="2" t="s">
        <v>156</v>
      </c>
      <c r="H187" s="2" t="s">
        <v>1075</v>
      </c>
      <c r="I187" s="2">
        <v>9714947283</v>
      </c>
      <c r="J187" s="2" t="s">
        <v>1076</v>
      </c>
      <c r="K187" s="2" t="s">
        <v>1077</v>
      </c>
      <c r="L187" s="2">
        <v>7611382735</v>
      </c>
      <c r="M187" s="2" t="s">
        <v>999</v>
      </c>
      <c r="N187" s="2" t="s">
        <v>99</v>
      </c>
      <c r="O187" s="2">
        <v>11446</v>
      </c>
      <c r="P187" s="2" t="s">
        <v>70</v>
      </c>
      <c r="Q187" s="3">
        <v>0.9</v>
      </c>
      <c r="R187" s="2" t="s">
        <v>712</v>
      </c>
    </row>
    <row r="188" spans="1:18" ht="15" customHeight="1" x14ac:dyDescent="0.25">
      <c r="A188" s="2">
        <v>187</v>
      </c>
      <c r="B188" s="2" t="s">
        <v>1078</v>
      </c>
      <c r="C188" s="2" t="s">
        <v>619</v>
      </c>
      <c r="D188" s="2" t="s">
        <v>640</v>
      </c>
      <c r="E188" s="2" t="s">
        <v>55</v>
      </c>
      <c r="F188" s="2" t="s">
        <v>34</v>
      </c>
      <c r="G188" s="2" t="s">
        <v>35</v>
      </c>
      <c r="H188" s="2" t="s">
        <v>1079</v>
      </c>
      <c r="I188" s="2">
        <v>9316809172</v>
      </c>
      <c r="J188" s="2" t="s">
        <v>1080</v>
      </c>
      <c r="K188" s="2" t="s">
        <v>1081</v>
      </c>
      <c r="L188" s="2">
        <v>7995616775</v>
      </c>
      <c r="M188" s="2" t="s">
        <v>1082</v>
      </c>
      <c r="N188" s="2" t="s">
        <v>161</v>
      </c>
      <c r="O188" s="2">
        <v>2470</v>
      </c>
      <c r="P188" s="2" t="s">
        <v>41</v>
      </c>
      <c r="Q188" s="3">
        <v>0.74</v>
      </c>
      <c r="R188" s="2" t="s">
        <v>745</v>
      </c>
    </row>
    <row r="189" spans="1:18" ht="15" customHeight="1" x14ac:dyDescent="0.25">
      <c r="A189" s="2">
        <v>188</v>
      </c>
      <c r="B189" s="2" t="s">
        <v>1083</v>
      </c>
      <c r="C189" s="2" t="s">
        <v>619</v>
      </c>
      <c r="D189" s="2" t="s">
        <v>866</v>
      </c>
      <c r="E189" s="2" t="s">
        <v>55</v>
      </c>
      <c r="F189" s="2" t="s">
        <v>22</v>
      </c>
      <c r="G189" s="2" t="s">
        <v>156</v>
      </c>
      <c r="H189" s="2" t="s">
        <v>1084</v>
      </c>
      <c r="I189" s="2">
        <v>9260677223</v>
      </c>
      <c r="J189" s="2" t="s">
        <v>1085</v>
      </c>
      <c r="K189" s="2" t="s">
        <v>541</v>
      </c>
      <c r="L189" s="2">
        <v>7708375597</v>
      </c>
      <c r="M189" s="2" t="s">
        <v>542</v>
      </c>
      <c r="N189" s="2" t="s">
        <v>99</v>
      </c>
      <c r="O189" s="2">
        <v>6858</v>
      </c>
      <c r="P189" s="2" t="s">
        <v>139</v>
      </c>
      <c r="Q189" s="3">
        <v>0.72</v>
      </c>
      <c r="R189" s="2" t="s">
        <v>42</v>
      </c>
    </row>
    <row r="190" spans="1:18" ht="15" customHeight="1" x14ac:dyDescent="0.25">
      <c r="A190" s="2">
        <v>189</v>
      </c>
      <c r="B190" s="2" t="s">
        <v>1086</v>
      </c>
      <c r="C190" s="2" t="s">
        <v>619</v>
      </c>
      <c r="D190" s="2" t="s">
        <v>666</v>
      </c>
      <c r="E190" s="2" t="s">
        <v>21</v>
      </c>
      <c r="F190" s="2" t="s">
        <v>22</v>
      </c>
      <c r="G190" s="2" t="s">
        <v>156</v>
      </c>
      <c r="H190" s="2" t="s">
        <v>1087</v>
      </c>
      <c r="I190" s="2">
        <v>8532689999</v>
      </c>
      <c r="J190" s="2" t="s">
        <v>1088</v>
      </c>
      <c r="K190" s="2" t="s">
        <v>1089</v>
      </c>
      <c r="L190" s="2">
        <v>7763834967</v>
      </c>
      <c r="M190" s="2" t="s">
        <v>1090</v>
      </c>
      <c r="N190" s="2" t="s">
        <v>202</v>
      </c>
      <c r="O190" s="2">
        <v>9275</v>
      </c>
      <c r="P190" s="2" t="s">
        <v>70</v>
      </c>
      <c r="Q190" s="3">
        <v>0.93</v>
      </c>
      <c r="R190" s="2" t="s">
        <v>42</v>
      </c>
    </row>
    <row r="191" spans="1:18" ht="15" customHeight="1" x14ac:dyDescent="0.25">
      <c r="A191" s="2">
        <v>190</v>
      </c>
      <c r="B191" s="2" t="s">
        <v>1091</v>
      </c>
      <c r="C191" s="2" t="s">
        <v>619</v>
      </c>
      <c r="D191" s="2" t="s">
        <v>627</v>
      </c>
      <c r="E191" s="2" t="s">
        <v>33</v>
      </c>
      <c r="F191" s="2" t="s">
        <v>22</v>
      </c>
      <c r="G191" s="2" t="s">
        <v>102</v>
      </c>
      <c r="H191" s="2" t="s">
        <v>1092</v>
      </c>
      <c r="I191" s="2">
        <v>6344767409</v>
      </c>
      <c r="J191" s="2" t="s">
        <v>1093</v>
      </c>
      <c r="K191" s="2" t="s">
        <v>1094</v>
      </c>
      <c r="L191" s="2">
        <v>7422638422</v>
      </c>
      <c r="M191" s="2" t="s">
        <v>1095</v>
      </c>
      <c r="N191" s="2" t="s">
        <v>28</v>
      </c>
      <c r="O191" s="2">
        <v>1307</v>
      </c>
      <c r="P191" s="2" t="s">
        <v>29</v>
      </c>
      <c r="Q191" s="3">
        <v>0.75</v>
      </c>
      <c r="R191" s="2" t="s">
        <v>42</v>
      </c>
    </row>
    <row r="192" spans="1:18" ht="15" customHeight="1" x14ac:dyDescent="0.25">
      <c r="A192" s="2">
        <v>191</v>
      </c>
      <c r="B192" s="2" t="s">
        <v>1096</v>
      </c>
      <c r="C192" s="2" t="s">
        <v>619</v>
      </c>
      <c r="D192" s="2" t="s">
        <v>866</v>
      </c>
      <c r="E192" s="2" t="s">
        <v>33</v>
      </c>
      <c r="F192" s="2" t="s">
        <v>22</v>
      </c>
      <c r="G192" s="2" t="s">
        <v>35</v>
      </c>
      <c r="H192" s="2" t="s">
        <v>1097</v>
      </c>
      <c r="I192" s="2">
        <v>8861894343</v>
      </c>
      <c r="J192" s="2" t="s">
        <v>1098</v>
      </c>
      <c r="K192" s="2" t="s">
        <v>1099</v>
      </c>
      <c r="L192" s="2">
        <v>9245652883</v>
      </c>
      <c r="M192" s="2" t="s">
        <v>1100</v>
      </c>
      <c r="N192" s="2" t="s">
        <v>99</v>
      </c>
      <c r="O192" s="2">
        <v>3579</v>
      </c>
      <c r="P192" s="2" t="s">
        <v>77</v>
      </c>
      <c r="Q192" s="3">
        <v>0.64</v>
      </c>
      <c r="R192" s="2" t="s">
        <v>902</v>
      </c>
    </row>
    <row r="193" spans="1:18" ht="15" customHeight="1" x14ac:dyDescent="0.25">
      <c r="A193" s="2">
        <v>192</v>
      </c>
      <c r="B193" s="2" t="s">
        <v>1101</v>
      </c>
      <c r="C193" s="2" t="s">
        <v>619</v>
      </c>
      <c r="D193" s="2" t="s">
        <v>754</v>
      </c>
      <c r="E193" s="2" t="s">
        <v>21</v>
      </c>
      <c r="F193" s="2" t="s">
        <v>34</v>
      </c>
      <c r="G193" s="2" t="s">
        <v>23</v>
      </c>
      <c r="H193" s="2" t="s">
        <v>1102</v>
      </c>
      <c r="I193" s="2">
        <v>6831405402</v>
      </c>
      <c r="J193" s="2" t="s">
        <v>1103</v>
      </c>
      <c r="K193" s="2" t="s">
        <v>1104</v>
      </c>
      <c r="L193" s="2">
        <v>6359779054</v>
      </c>
      <c r="M193" s="2" t="s">
        <v>1105</v>
      </c>
      <c r="N193" s="2" t="s">
        <v>271</v>
      </c>
      <c r="O193" s="2">
        <v>4587</v>
      </c>
      <c r="P193" s="2" t="s">
        <v>51</v>
      </c>
      <c r="Q193" s="3">
        <v>0.75</v>
      </c>
      <c r="R193" s="2" t="s">
        <v>912</v>
      </c>
    </row>
    <row r="194" spans="1:18" ht="15" customHeight="1" x14ac:dyDescent="0.25">
      <c r="A194" s="2">
        <v>193</v>
      </c>
      <c r="B194" s="2" t="s">
        <v>1106</v>
      </c>
      <c r="C194" s="2" t="s">
        <v>619</v>
      </c>
      <c r="D194" s="2" t="s">
        <v>707</v>
      </c>
      <c r="E194" s="2" t="s">
        <v>33</v>
      </c>
      <c r="F194" s="2" t="s">
        <v>34</v>
      </c>
      <c r="G194" s="2" t="s">
        <v>45</v>
      </c>
      <c r="H194" s="2" t="s">
        <v>1066</v>
      </c>
      <c r="I194" s="2">
        <v>7337673911</v>
      </c>
      <c r="J194" s="2" t="s">
        <v>1107</v>
      </c>
      <c r="K194" s="2" t="s">
        <v>1108</v>
      </c>
      <c r="L194" s="2">
        <v>7827669728</v>
      </c>
      <c r="M194" s="2" t="s">
        <v>1109</v>
      </c>
      <c r="N194" s="2" t="s">
        <v>60</v>
      </c>
      <c r="O194" s="2">
        <v>6140</v>
      </c>
      <c r="P194" s="2" t="s">
        <v>61</v>
      </c>
      <c r="Q194" s="3">
        <v>0.91</v>
      </c>
      <c r="R194" s="2" t="s">
        <v>771</v>
      </c>
    </row>
    <row r="195" spans="1:18" ht="15" customHeight="1" x14ac:dyDescent="0.25">
      <c r="A195" s="2">
        <v>194</v>
      </c>
      <c r="B195" s="2" t="s">
        <v>1110</v>
      </c>
      <c r="C195" s="2" t="s">
        <v>619</v>
      </c>
      <c r="D195" s="2" t="s">
        <v>652</v>
      </c>
      <c r="E195" s="2" t="s">
        <v>55</v>
      </c>
      <c r="F195" s="2" t="s">
        <v>34</v>
      </c>
      <c r="G195" s="2" t="s">
        <v>156</v>
      </c>
      <c r="H195" s="2" t="s">
        <v>1111</v>
      </c>
      <c r="I195" s="2">
        <v>8592845370</v>
      </c>
      <c r="J195" s="2" t="s">
        <v>1112</v>
      </c>
      <c r="K195" s="2" t="s">
        <v>1113</v>
      </c>
      <c r="L195" s="2">
        <v>8334300190</v>
      </c>
      <c r="M195" s="2" t="s">
        <v>250</v>
      </c>
      <c r="N195" s="2" t="s">
        <v>289</v>
      </c>
      <c r="O195" s="2">
        <v>2667</v>
      </c>
      <c r="P195" s="2" t="s">
        <v>29</v>
      </c>
      <c r="Q195" s="3">
        <v>0.62</v>
      </c>
      <c r="R195" s="2" t="s">
        <v>705</v>
      </c>
    </row>
    <row r="196" spans="1:18" ht="15" customHeight="1" x14ac:dyDescent="0.25">
      <c r="A196" s="2">
        <v>195</v>
      </c>
      <c r="B196" s="2" t="s">
        <v>1114</v>
      </c>
      <c r="C196" s="2" t="s">
        <v>619</v>
      </c>
      <c r="D196" s="2" t="s">
        <v>620</v>
      </c>
      <c r="E196" s="2" t="s">
        <v>55</v>
      </c>
      <c r="F196" s="2" t="s">
        <v>22</v>
      </c>
      <c r="G196" s="2" t="s">
        <v>156</v>
      </c>
      <c r="H196" s="2" t="s">
        <v>1115</v>
      </c>
      <c r="I196" s="2">
        <v>8787833374</v>
      </c>
      <c r="J196" s="2" t="s">
        <v>1116</v>
      </c>
      <c r="K196" s="2" t="s">
        <v>968</v>
      </c>
      <c r="L196" s="2">
        <v>8397302928</v>
      </c>
      <c r="M196" s="2" t="s">
        <v>1117</v>
      </c>
      <c r="N196" s="2" t="s">
        <v>215</v>
      </c>
      <c r="O196" s="2">
        <v>8880</v>
      </c>
      <c r="P196" s="2" t="s">
        <v>29</v>
      </c>
      <c r="Q196" s="3">
        <v>0.97</v>
      </c>
      <c r="R196" s="2" t="s">
        <v>804</v>
      </c>
    </row>
    <row r="197" spans="1:18" ht="15" customHeight="1" x14ac:dyDescent="0.25">
      <c r="A197" s="2">
        <v>196</v>
      </c>
      <c r="B197" s="2" t="s">
        <v>1118</v>
      </c>
      <c r="C197" s="2" t="s">
        <v>619</v>
      </c>
      <c r="D197" s="2" t="s">
        <v>673</v>
      </c>
      <c r="E197" s="2" t="s">
        <v>21</v>
      </c>
      <c r="F197" s="2" t="s">
        <v>22</v>
      </c>
      <c r="G197" s="2" t="s">
        <v>23</v>
      </c>
      <c r="H197" s="2" t="s">
        <v>1119</v>
      </c>
      <c r="I197" s="2">
        <v>6726016935</v>
      </c>
      <c r="J197" s="2" t="s">
        <v>1120</v>
      </c>
      <c r="K197" s="2" t="s">
        <v>1121</v>
      </c>
      <c r="L197" s="2">
        <v>7468472812</v>
      </c>
      <c r="M197" s="2" t="s">
        <v>1122</v>
      </c>
      <c r="N197" s="2" t="s">
        <v>271</v>
      </c>
      <c r="O197" s="2">
        <v>10330</v>
      </c>
      <c r="P197" s="2" t="s">
        <v>77</v>
      </c>
      <c r="Q197" s="3">
        <v>0.83</v>
      </c>
      <c r="R197" s="2" t="s">
        <v>725</v>
      </c>
    </row>
    <row r="198" spans="1:18" ht="15" customHeight="1" x14ac:dyDescent="0.25">
      <c r="A198" s="2">
        <v>197</v>
      </c>
      <c r="B198" s="2" t="s">
        <v>1123</v>
      </c>
      <c r="C198" s="2" t="s">
        <v>619</v>
      </c>
      <c r="D198" s="2" t="s">
        <v>714</v>
      </c>
      <c r="E198" s="2" t="s">
        <v>55</v>
      </c>
      <c r="F198" s="2" t="s">
        <v>22</v>
      </c>
      <c r="G198" s="2" t="s">
        <v>102</v>
      </c>
      <c r="H198" s="2" t="s">
        <v>1124</v>
      </c>
      <c r="I198" s="2">
        <v>8802693852</v>
      </c>
      <c r="J198" s="2" t="s">
        <v>485</v>
      </c>
      <c r="K198" s="2" t="s">
        <v>1125</v>
      </c>
      <c r="L198" s="2">
        <v>6338642889</v>
      </c>
      <c r="M198" s="2" t="s">
        <v>1126</v>
      </c>
      <c r="N198" s="2" t="s">
        <v>202</v>
      </c>
      <c r="O198" s="2">
        <v>3285</v>
      </c>
      <c r="P198" s="2" t="s">
        <v>41</v>
      </c>
      <c r="Q198" s="3">
        <v>0.83</v>
      </c>
      <c r="R198" s="2" t="s">
        <v>896</v>
      </c>
    </row>
    <row r="199" spans="1:18" ht="15" customHeight="1" x14ac:dyDescent="0.25">
      <c r="A199" s="2">
        <v>198</v>
      </c>
      <c r="B199" s="2" t="s">
        <v>1127</v>
      </c>
      <c r="C199" s="2" t="s">
        <v>619</v>
      </c>
      <c r="D199" s="2" t="s">
        <v>841</v>
      </c>
      <c r="E199" s="2" t="s">
        <v>33</v>
      </c>
      <c r="F199" s="2" t="s">
        <v>22</v>
      </c>
      <c r="G199" s="2" t="s">
        <v>102</v>
      </c>
      <c r="H199" s="2" t="s">
        <v>1128</v>
      </c>
      <c r="I199" s="2">
        <v>6830893658</v>
      </c>
      <c r="J199" s="2" t="s">
        <v>1129</v>
      </c>
      <c r="K199" s="2" t="s">
        <v>1130</v>
      </c>
      <c r="L199" s="2">
        <v>9668909764</v>
      </c>
      <c r="M199" s="2" t="s">
        <v>1131</v>
      </c>
      <c r="N199" s="2" t="s">
        <v>60</v>
      </c>
      <c r="O199" s="2">
        <v>4769</v>
      </c>
      <c r="P199" s="2" t="s">
        <v>139</v>
      </c>
      <c r="Q199" s="3">
        <v>0.68</v>
      </c>
      <c r="R199" s="2" t="s">
        <v>765</v>
      </c>
    </row>
    <row r="200" spans="1:18" ht="15" customHeight="1" x14ac:dyDescent="0.25">
      <c r="A200" s="2">
        <v>199</v>
      </c>
      <c r="B200" s="2" t="s">
        <v>1132</v>
      </c>
      <c r="C200" s="2" t="s">
        <v>619</v>
      </c>
      <c r="D200" s="2" t="s">
        <v>627</v>
      </c>
      <c r="E200" s="2" t="s">
        <v>21</v>
      </c>
      <c r="F200" s="2" t="s">
        <v>34</v>
      </c>
      <c r="G200" s="2" t="s">
        <v>23</v>
      </c>
      <c r="H200" s="2" t="s">
        <v>1049</v>
      </c>
      <c r="I200" s="2">
        <v>7436525794</v>
      </c>
      <c r="J200" s="2" t="s">
        <v>1050</v>
      </c>
      <c r="K200" s="2" t="s">
        <v>1133</v>
      </c>
      <c r="L200" s="2">
        <v>6105061082</v>
      </c>
      <c r="M200" s="2" t="s">
        <v>1134</v>
      </c>
      <c r="N200" s="2" t="s">
        <v>146</v>
      </c>
      <c r="O200" s="2">
        <v>7204</v>
      </c>
      <c r="P200" s="2" t="s">
        <v>139</v>
      </c>
      <c r="Q200" s="3">
        <v>0.93</v>
      </c>
      <c r="R200" s="2" t="s">
        <v>745</v>
      </c>
    </row>
    <row r="201" spans="1:18" ht="15" customHeight="1" x14ac:dyDescent="0.25">
      <c r="A201" s="2">
        <v>200</v>
      </c>
      <c r="B201" s="2" t="s">
        <v>1135</v>
      </c>
      <c r="C201" s="2" t="s">
        <v>619</v>
      </c>
      <c r="D201" s="2" t="s">
        <v>673</v>
      </c>
      <c r="E201" s="2" t="s">
        <v>21</v>
      </c>
      <c r="F201" s="2" t="s">
        <v>22</v>
      </c>
      <c r="G201" s="2" t="s">
        <v>23</v>
      </c>
      <c r="H201" s="2" t="s">
        <v>1136</v>
      </c>
      <c r="I201" s="2">
        <v>7884539206</v>
      </c>
      <c r="J201" s="2" t="s">
        <v>1137</v>
      </c>
      <c r="K201" s="2" t="s">
        <v>1138</v>
      </c>
      <c r="L201" s="2">
        <v>8115115189</v>
      </c>
      <c r="M201" s="2" t="s">
        <v>1139</v>
      </c>
      <c r="N201" s="2" t="s">
        <v>289</v>
      </c>
      <c r="O201" s="2">
        <v>1942</v>
      </c>
      <c r="P201" s="2" t="s">
        <v>61</v>
      </c>
      <c r="Q201" s="3">
        <v>0.81</v>
      </c>
      <c r="R201" s="2" t="s">
        <v>800</v>
      </c>
    </row>
    <row r="202" spans="1:18" ht="15" customHeight="1" x14ac:dyDescent="0.25">
      <c r="A202" s="2">
        <v>201</v>
      </c>
      <c r="B202" s="2" t="s">
        <v>1140</v>
      </c>
      <c r="C202" s="2" t="s">
        <v>1141</v>
      </c>
      <c r="D202" s="2" t="s">
        <v>1142</v>
      </c>
      <c r="E202" s="2" t="s">
        <v>55</v>
      </c>
      <c r="F202" s="2" t="s">
        <v>34</v>
      </c>
      <c r="G202" s="2" t="s">
        <v>156</v>
      </c>
      <c r="H202" s="2" t="s">
        <v>1143</v>
      </c>
      <c r="I202" s="2">
        <v>6420192227</v>
      </c>
      <c r="J202" s="2" t="s">
        <v>1144</v>
      </c>
      <c r="K202" s="2" t="s">
        <v>1145</v>
      </c>
      <c r="L202" s="2">
        <v>8589547144</v>
      </c>
      <c r="M202" s="2" t="s">
        <v>1146</v>
      </c>
      <c r="N202" s="2" t="s">
        <v>28</v>
      </c>
      <c r="O202" s="2">
        <v>4207</v>
      </c>
      <c r="P202" s="2" t="s">
        <v>29</v>
      </c>
      <c r="Q202" s="3">
        <v>0.93</v>
      </c>
      <c r="R202" s="2" t="s">
        <v>259</v>
      </c>
    </row>
    <row r="203" spans="1:18" ht="15" customHeight="1" x14ac:dyDescent="0.25">
      <c r="A203" s="2">
        <v>202</v>
      </c>
      <c r="B203" s="2" t="s">
        <v>1147</v>
      </c>
      <c r="C203" s="2" t="s">
        <v>1141</v>
      </c>
      <c r="D203" s="2" t="s">
        <v>1148</v>
      </c>
      <c r="E203" s="2" t="s">
        <v>55</v>
      </c>
      <c r="F203" s="2" t="s">
        <v>22</v>
      </c>
      <c r="G203" s="2" t="s">
        <v>45</v>
      </c>
      <c r="H203" s="2" t="s">
        <v>1149</v>
      </c>
      <c r="I203" s="2">
        <v>6733177858</v>
      </c>
      <c r="J203" s="2" t="s">
        <v>1150</v>
      </c>
      <c r="K203" s="2" t="s">
        <v>322</v>
      </c>
      <c r="L203" s="2">
        <v>7232244172</v>
      </c>
      <c r="M203" s="2" t="s">
        <v>780</v>
      </c>
      <c r="N203" s="2" t="s">
        <v>161</v>
      </c>
      <c r="O203" s="2">
        <v>6115</v>
      </c>
      <c r="P203" s="2" t="s">
        <v>77</v>
      </c>
      <c r="Q203" s="3">
        <v>0.7</v>
      </c>
      <c r="R203" s="2" t="s">
        <v>1151</v>
      </c>
    </row>
    <row r="204" spans="1:18" ht="15" customHeight="1" x14ac:dyDescent="0.25">
      <c r="A204" s="2">
        <v>203</v>
      </c>
      <c r="B204" s="2" t="s">
        <v>1152</v>
      </c>
      <c r="C204" s="2" t="s">
        <v>1141</v>
      </c>
      <c r="D204" s="2" t="s">
        <v>1153</v>
      </c>
      <c r="E204" s="2" t="s">
        <v>55</v>
      </c>
      <c r="F204" s="2" t="s">
        <v>22</v>
      </c>
      <c r="G204" s="2" t="s">
        <v>156</v>
      </c>
      <c r="H204" s="2" t="s">
        <v>1154</v>
      </c>
      <c r="I204" s="2">
        <v>9508294370</v>
      </c>
      <c r="J204" s="2" t="s">
        <v>1155</v>
      </c>
      <c r="K204" s="2" t="s">
        <v>1156</v>
      </c>
      <c r="L204" s="2">
        <v>6687639985</v>
      </c>
      <c r="M204" s="2" t="s">
        <v>1157</v>
      </c>
      <c r="N204" s="2" t="s">
        <v>107</v>
      </c>
      <c r="O204" s="2">
        <v>10991</v>
      </c>
      <c r="P204" s="2" t="s">
        <v>70</v>
      </c>
      <c r="Q204" s="3">
        <v>0.88</v>
      </c>
      <c r="R204" s="2" t="s">
        <v>1158</v>
      </c>
    </row>
    <row r="205" spans="1:18" ht="15" customHeight="1" x14ac:dyDescent="0.25">
      <c r="A205" s="2">
        <v>204</v>
      </c>
      <c r="B205" s="2" t="s">
        <v>1159</v>
      </c>
      <c r="C205" s="2" t="s">
        <v>1141</v>
      </c>
      <c r="D205" s="2" t="s">
        <v>1160</v>
      </c>
      <c r="E205" s="2" t="s">
        <v>33</v>
      </c>
      <c r="F205" s="2" t="s">
        <v>22</v>
      </c>
      <c r="G205" s="2" t="s">
        <v>23</v>
      </c>
      <c r="H205" s="2" t="s">
        <v>1161</v>
      </c>
      <c r="I205" s="2">
        <v>6634443249</v>
      </c>
      <c r="J205" s="2" t="s">
        <v>1024</v>
      </c>
      <c r="K205" s="2" t="s">
        <v>1162</v>
      </c>
      <c r="L205" s="2">
        <v>7753910715</v>
      </c>
      <c r="M205" s="2" t="s">
        <v>1163</v>
      </c>
      <c r="N205" s="2" t="s">
        <v>215</v>
      </c>
      <c r="O205" s="2">
        <v>5433</v>
      </c>
      <c r="P205" s="2" t="s">
        <v>77</v>
      </c>
      <c r="Q205" s="3">
        <v>0.83</v>
      </c>
      <c r="R205" s="2" t="s">
        <v>1164</v>
      </c>
    </row>
    <row r="206" spans="1:18" ht="15" customHeight="1" x14ac:dyDescent="0.25">
      <c r="A206" s="2">
        <v>205</v>
      </c>
      <c r="B206" s="2" t="s">
        <v>1165</v>
      </c>
      <c r="C206" s="2" t="s">
        <v>1141</v>
      </c>
      <c r="D206" s="2" t="s">
        <v>1166</v>
      </c>
      <c r="E206" s="2" t="s">
        <v>33</v>
      </c>
      <c r="F206" s="2" t="s">
        <v>22</v>
      </c>
      <c r="G206" s="2" t="s">
        <v>23</v>
      </c>
      <c r="H206" s="2" t="s">
        <v>1167</v>
      </c>
      <c r="I206" s="2">
        <v>6218574293</v>
      </c>
      <c r="J206" s="2" t="s">
        <v>1168</v>
      </c>
      <c r="K206" s="2" t="s">
        <v>1169</v>
      </c>
      <c r="L206" s="2">
        <v>9260142678</v>
      </c>
      <c r="M206" s="2" t="s">
        <v>1170</v>
      </c>
      <c r="N206" s="2" t="s">
        <v>60</v>
      </c>
      <c r="O206" s="2">
        <v>7213</v>
      </c>
      <c r="P206" s="2" t="s">
        <v>70</v>
      </c>
      <c r="Q206" s="3">
        <v>0.62</v>
      </c>
      <c r="R206" s="2" t="s">
        <v>1171</v>
      </c>
    </row>
    <row r="207" spans="1:18" ht="15" customHeight="1" x14ac:dyDescent="0.25">
      <c r="A207" s="2">
        <v>206</v>
      </c>
      <c r="B207" s="2" t="s">
        <v>1172</v>
      </c>
      <c r="C207" s="2" t="s">
        <v>1141</v>
      </c>
      <c r="D207" s="2" t="s">
        <v>1173</v>
      </c>
      <c r="E207" s="2" t="s">
        <v>55</v>
      </c>
      <c r="F207" s="2" t="s">
        <v>34</v>
      </c>
      <c r="G207" s="2" t="s">
        <v>156</v>
      </c>
      <c r="H207" s="2" t="s">
        <v>1174</v>
      </c>
      <c r="I207" s="2">
        <v>8960707259</v>
      </c>
      <c r="J207" s="2" t="s">
        <v>1175</v>
      </c>
      <c r="K207" s="2" t="s">
        <v>1176</v>
      </c>
      <c r="L207" s="2">
        <v>8557408869</v>
      </c>
      <c r="M207" s="2" t="s">
        <v>1177</v>
      </c>
      <c r="N207" s="2" t="s">
        <v>40</v>
      </c>
      <c r="O207" s="2">
        <v>11056</v>
      </c>
      <c r="P207" s="2" t="s">
        <v>61</v>
      </c>
      <c r="Q207" s="3">
        <v>0.75</v>
      </c>
      <c r="R207" s="2" t="s">
        <v>1178</v>
      </c>
    </row>
    <row r="208" spans="1:18" ht="15" customHeight="1" x14ac:dyDescent="0.25">
      <c r="A208" s="2">
        <v>207</v>
      </c>
      <c r="B208" s="2" t="s">
        <v>1179</v>
      </c>
      <c r="C208" s="2" t="s">
        <v>1141</v>
      </c>
      <c r="D208" s="2" t="s">
        <v>1180</v>
      </c>
      <c r="E208" s="2" t="s">
        <v>21</v>
      </c>
      <c r="F208" s="2" t="s">
        <v>22</v>
      </c>
      <c r="G208" s="2" t="s">
        <v>156</v>
      </c>
      <c r="H208" s="2" t="s">
        <v>1181</v>
      </c>
      <c r="I208" s="2">
        <v>7222226183</v>
      </c>
      <c r="J208" s="2" t="s">
        <v>670</v>
      </c>
      <c r="K208" s="2" t="s">
        <v>536</v>
      </c>
      <c r="L208" s="2">
        <v>9529765405</v>
      </c>
      <c r="M208" s="2" t="s">
        <v>1182</v>
      </c>
      <c r="N208" s="2" t="s">
        <v>215</v>
      </c>
      <c r="O208" s="2">
        <v>2767</v>
      </c>
      <c r="P208" s="2" t="s">
        <v>29</v>
      </c>
      <c r="Q208" s="3">
        <v>0.83</v>
      </c>
      <c r="R208" s="2" t="s">
        <v>1183</v>
      </c>
    </row>
    <row r="209" spans="1:18" ht="15" customHeight="1" x14ac:dyDescent="0.25">
      <c r="A209" s="2">
        <v>208</v>
      </c>
      <c r="B209" s="2" t="s">
        <v>1184</v>
      </c>
      <c r="C209" s="2" t="s">
        <v>1141</v>
      </c>
      <c r="D209" s="2" t="s">
        <v>1185</v>
      </c>
      <c r="E209" s="2" t="s">
        <v>33</v>
      </c>
      <c r="F209" s="2" t="s">
        <v>22</v>
      </c>
      <c r="G209" s="2" t="s">
        <v>45</v>
      </c>
      <c r="H209" s="2" t="s">
        <v>1186</v>
      </c>
      <c r="I209" s="2">
        <v>9294627041</v>
      </c>
      <c r="J209" s="2" t="s">
        <v>1187</v>
      </c>
      <c r="K209" s="2" t="s">
        <v>1188</v>
      </c>
      <c r="L209" s="2">
        <v>9936621291</v>
      </c>
      <c r="M209" s="2" t="s">
        <v>1189</v>
      </c>
      <c r="N209" s="2" t="s">
        <v>462</v>
      </c>
      <c r="O209" s="2">
        <v>11130</v>
      </c>
      <c r="P209" s="2" t="s">
        <v>41</v>
      </c>
      <c r="Q209" s="3">
        <v>0.62</v>
      </c>
      <c r="R209" s="2" t="s">
        <v>1190</v>
      </c>
    </row>
    <row r="210" spans="1:18" ht="15" customHeight="1" x14ac:dyDescent="0.25">
      <c r="A210" s="2">
        <v>209</v>
      </c>
      <c r="B210" s="2" t="s">
        <v>1191</v>
      </c>
      <c r="C210" s="2" t="s">
        <v>1141</v>
      </c>
      <c r="D210" s="2" t="s">
        <v>1153</v>
      </c>
      <c r="E210" s="2" t="s">
        <v>55</v>
      </c>
      <c r="F210" s="2" t="s">
        <v>34</v>
      </c>
      <c r="G210" s="2" t="s">
        <v>23</v>
      </c>
      <c r="H210" s="2" t="s">
        <v>1192</v>
      </c>
      <c r="I210" s="2">
        <v>7819239897</v>
      </c>
      <c r="J210" s="2" t="s">
        <v>1193</v>
      </c>
      <c r="K210" s="2" t="s">
        <v>1194</v>
      </c>
      <c r="L210" s="2">
        <v>8657379037</v>
      </c>
      <c r="M210" s="2" t="s">
        <v>1195</v>
      </c>
      <c r="N210" s="2" t="s">
        <v>289</v>
      </c>
      <c r="O210" s="2">
        <v>8497</v>
      </c>
      <c r="P210" s="2" t="s">
        <v>51</v>
      </c>
      <c r="Q210" s="3">
        <v>0.93</v>
      </c>
      <c r="R210" s="2" t="s">
        <v>1196</v>
      </c>
    </row>
    <row r="211" spans="1:18" ht="15" customHeight="1" x14ac:dyDescent="0.25">
      <c r="A211" s="2">
        <v>210</v>
      </c>
      <c r="B211" s="2" t="s">
        <v>1197</v>
      </c>
      <c r="C211" s="2" t="s">
        <v>1141</v>
      </c>
      <c r="D211" s="2" t="s">
        <v>1148</v>
      </c>
      <c r="E211" s="2" t="s">
        <v>55</v>
      </c>
      <c r="F211" s="2" t="s">
        <v>22</v>
      </c>
      <c r="G211" s="2" t="s">
        <v>156</v>
      </c>
      <c r="H211" s="2" t="s">
        <v>1198</v>
      </c>
      <c r="I211" s="2">
        <v>7642849045</v>
      </c>
      <c r="J211" s="2" t="s">
        <v>1199</v>
      </c>
      <c r="K211" s="2" t="s">
        <v>1200</v>
      </c>
      <c r="L211" s="2">
        <v>9632398698</v>
      </c>
      <c r="M211" s="2" t="s">
        <v>1201</v>
      </c>
      <c r="N211" s="2" t="s">
        <v>462</v>
      </c>
      <c r="O211" s="2">
        <v>11341</v>
      </c>
      <c r="P211" s="2" t="s">
        <v>29</v>
      </c>
      <c r="Q211" s="3">
        <v>0.66</v>
      </c>
      <c r="R211" s="2" t="s">
        <v>1202</v>
      </c>
    </row>
    <row r="212" spans="1:18" ht="15" customHeight="1" x14ac:dyDescent="0.25">
      <c r="A212" s="2">
        <v>211</v>
      </c>
      <c r="B212" s="2" t="s">
        <v>1203</v>
      </c>
      <c r="C212" s="2" t="s">
        <v>1141</v>
      </c>
      <c r="D212" s="2" t="s">
        <v>1204</v>
      </c>
      <c r="E212" s="2" t="s">
        <v>21</v>
      </c>
      <c r="F212" s="2" t="s">
        <v>22</v>
      </c>
      <c r="G212" s="2" t="s">
        <v>102</v>
      </c>
      <c r="H212" s="2" t="s">
        <v>1205</v>
      </c>
      <c r="I212" s="2">
        <v>9194510603</v>
      </c>
      <c r="J212" s="2" t="s">
        <v>731</v>
      </c>
      <c r="K212" s="2" t="s">
        <v>1206</v>
      </c>
      <c r="L212" s="2">
        <v>9580035742</v>
      </c>
      <c r="M212" s="2" t="s">
        <v>1207</v>
      </c>
      <c r="N212" s="2" t="s">
        <v>28</v>
      </c>
      <c r="O212" s="2">
        <v>5921</v>
      </c>
      <c r="P212" s="2" t="s">
        <v>70</v>
      </c>
      <c r="Q212" s="3">
        <v>0.56999999999999995</v>
      </c>
      <c r="R212" s="2" t="s">
        <v>1208</v>
      </c>
    </row>
    <row r="213" spans="1:18" ht="15" customHeight="1" x14ac:dyDescent="0.25">
      <c r="A213" s="2">
        <v>212</v>
      </c>
      <c r="B213" s="2" t="s">
        <v>1209</v>
      </c>
      <c r="C213" s="2" t="s">
        <v>1141</v>
      </c>
      <c r="D213" s="2" t="s">
        <v>1142</v>
      </c>
      <c r="E213" s="2" t="s">
        <v>21</v>
      </c>
      <c r="F213" s="2" t="s">
        <v>22</v>
      </c>
      <c r="G213" s="2" t="s">
        <v>156</v>
      </c>
      <c r="H213" s="2" t="s">
        <v>1210</v>
      </c>
      <c r="I213" s="2">
        <v>7802867083</v>
      </c>
      <c r="J213" s="2" t="s">
        <v>1211</v>
      </c>
      <c r="K213" s="2" t="s">
        <v>1212</v>
      </c>
      <c r="L213" s="2">
        <v>9465989408</v>
      </c>
      <c r="M213" s="2" t="s">
        <v>1213</v>
      </c>
      <c r="N213" s="2" t="s">
        <v>50</v>
      </c>
      <c r="O213" s="2">
        <v>7109</v>
      </c>
      <c r="P213" s="2" t="s">
        <v>77</v>
      </c>
      <c r="Q213" s="3">
        <v>0.56999999999999995</v>
      </c>
      <c r="R213" s="2" t="s">
        <v>1214</v>
      </c>
    </row>
    <row r="214" spans="1:18" ht="15" customHeight="1" x14ac:dyDescent="0.25">
      <c r="A214" s="2">
        <v>213</v>
      </c>
      <c r="B214" s="2" t="s">
        <v>1215</v>
      </c>
      <c r="C214" s="2" t="s">
        <v>1141</v>
      </c>
      <c r="D214" s="2" t="s">
        <v>1153</v>
      </c>
      <c r="E214" s="2" t="s">
        <v>21</v>
      </c>
      <c r="F214" s="2" t="s">
        <v>22</v>
      </c>
      <c r="G214" s="2" t="s">
        <v>45</v>
      </c>
      <c r="H214" s="2" t="s">
        <v>1216</v>
      </c>
      <c r="I214" s="2">
        <v>8991081037</v>
      </c>
      <c r="J214" s="2" t="s">
        <v>1217</v>
      </c>
      <c r="K214" s="2" t="s">
        <v>1218</v>
      </c>
      <c r="L214" s="2">
        <v>8688078280</v>
      </c>
      <c r="M214" s="2" t="s">
        <v>1027</v>
      </c>
      <c r="N214" s="2" t="s">
        <v>146</v>
      </c>
      <c r="O214" s="2">
        <v>9677</v>
      </c>
      <c r="P214" s="2" t="s">
        <v>41</v>
      </c>
      <c r="Q214" s="3">
        <v>0.82</v>
      </c>
      <c r="R214" s="2" t="s">
        <v>1219</v>
      </c>
    </row>
    <row r="215" spans="1:18" ht="15" customHeight="1" x14ac:dyDescent="0.25">
      <c r="A215" s="2">
        <v>214</v>
      </c>
      <c r="B215" s="2" t="s">
        <v>1220</v>
      </c>
      <c r="C215" s="2" t="s">
        <v>1141</v>
      </c>
      <c r="D215" s="2" t="s">
        <v>1148</v>
      </c>
      <c r="E215" s="2" t="s">
        <v>33</v>
      </c>
      <c r="F215" s="2" t="s">
        <v>22</v>
      </c>
      <c r="G215" s="2" t="s">
        <v>156</v>
      </c>
      <c r="H215" s="2" t="s">
        <v>1221</v>
      </c>
      <c r="I215" s="2">
        <v>7590749409</v>
      </c>
      <c r="J215" s="2" t="s">
        <v>1222</v>
      </c>
      <c r="K215" s="2" t="s">
        <v>1223</v>
      </c>
      <c r="L215" s="2">
        <v>7869645166</v>
      </c>
      <c r="M215" s="2" t="s">
        <v>1224</v>
      </c>
      <c r="N215" s="2" t="s">
        <v>138</v>
      </c>
      <c r="O215" s="2">
        <v>8567</v>
      </c>
      <c r="P215" s="2" t="s">
        <v>61</v>
      </c>
      <c r="Q215" s="3">
        <v>0.9</v>
      </c>
      <c r="R215" s="2" t="s">
        <v>1225</v>
      </c>
    </row>
    <row r="216" spans="1:18" ht="15" customHeight="1" x14ac:dyDescent="0.25">
      <c r="A216" s="2">
        <v>215</v>
      </c>
      <c r="B216" s="2" t="s">
        <v>1226</v>
      </c>
      <c r="C216" s="2" t="s">
        <v>1141</v>
      </c>
      <c r="D216" s="2" t="s">
        <v>1142</v>
      </c>
      <c r="E216" s="2" t="s">
        <v>21</v>
      </c>
      <c r="F216" s="2" t="s">
        <v>22</v>
      </c>
      <c r="G216" s="2" t="s">
        <v>156</v>
      </c>
      <c r="H216" s="2" t="s">
        <v>1227</v>
      </c>
      <c r="I216" s="2">
        <v>9645818292</v>
      </c>
      <c r="J216" s="2" t="s">
        <v>1228</v>
      </c>
      <c r="K216" s="2" t="s">
        <v>1229</v>
      </c>
      <c r="L216" s="2">
        <v>7842833609</v>
      </c>
      <c r="M216" s="2" t="s">
        <v>1230</v>
      </c>
      <c r="N216" s="2" t="s">
        <v>50</v>
      </c>
      <c r="O216" s="2">
        <v>7881</v>
      </c>
      <c r="P216" s="2" t="s">
        <v>77</v>
      </c>
      <c r="Q216" s="3">
        <v>0.83</v>
      </c>
      <c r="R216" s="2" t="s">
        <v>1231</v>
      </c>
    </row>
    <row r="217" spans="1:18" ht="15" customHeight="1" x14ac:dyDescent="0.25">
      <c r="A217" s="2">
        <v>216</v>
      </c>
      <c r="B217" s="2" t="s">
        <v>1232</v>
      </c>
      <c r="C217" s="2" t="s">
        <v>1141</v>
      </c>
      <c r="D217" s="2" t="s">
        <v>1233</v>
      </c>
      <c r="E217" s="2" t="s">
        <v>21</v>
      </c>
      <c r="F217" s="2" t="s">
        <v>22</v>
      </c>
      <c r="G217" s="2" t="s">
        <v>23</v>
      </c>
      <c r="H217" s="2" t="s">
        <v>1234</v>
      </c>
      <c r="I217" s="2">
        <v>8415866432</v>
      </c>
      <c r="J217" s="2" t="s">
        <v>502</v>
      </c>
      <c r="K217" s="2" t="s">
        <v>1235</v>
      </c>
      <c r="L217" s="2">
        <v>9964144020</v>
      </c>
      <c r="M217" s="2" t="s">
        <v>143</v>
      </c>
      <c r="N217" s="2" t="s">
        <v>50</v>
      </c>
      <c r="O217" s="2">
        <v>6847</v>
      </c>
      <c r="P217" s="2" t="s">
        <v>29</v>
      </c>
      <c r="Q217" s="3">
        <v>0.81</v>
      </c>
      <c r="R217" s="2" t="s">
        <v>1236</v>
      </c>
    </row>
    <row r="218" spans="1:18" ht="15" customHeight="1" x14ac:dyDescent="0.25">
      <c r="A218" s="2">
        <v>217</v>
      </c>
      <c r="B218" s="2" t="s">
        <v>1237</v>
      </c>
      <c r="C218" s="2" t="s">
        <v>1141</v>
      </c>
      <c r="D218" s="2" t="s">
        <v>1238</v>
      </c>
      <c r="E218" s="2" t="s">
        <v>21</v>
      </c>
      <c r="F218" s="2" t="s">
        <v>22</v>
      </c>
      <c r="G218" s="2" t="s">
        <v>35</v>
      </c>
      <c r="H218" s="2" t="s">
        <v>1239</v>
      </c>
      <c r="I218" s="2">
        <v>7862782374</v>
      </c>
      <c r="J218" s="2" t="s">
        <v>1240</v>
      </c>
      <c r="K218" s="2" t="s">
        <v>1241</v>
      </c>
      <c r="L218" s="2">
        <v>7641051458</v>
      </c>
      <c r="M218" s="2" t="s">
        <v>1242</v>
      </c>
      <c r="N218" s="2" t="s">
        <v>202</v>
      </c>
      <c r="O218" s="2">
        <v>11993</v>
      </c>
      <c r="P218" s="2" t="s">
        <v>139</v>
      </c>
      <c r="Q218" s="3">
        <v>0.92</v>
      </c>
      <c r="R218" s="2" t="s">
        <v>1243</v>
      </c>
    </row>
    <row r="219" spans="1:18" ht="15" customHeight="1" x14ac:dyDescent="0.25">
      <c r="A219" s="2">
        <v>218</v>
      </c>
      <c r="B219" s="2" t="s">
        <v>1244</v>
      </c>
      <c r="C219" s="2" t="s">
        <v>1141</v>
      </c>
      <c r="D219" s="2" t="s">
        <v>1245</v>
      </c>
      <c r="E219" s="2" t="s">
        <v>55</v>
      </c>
      <c r="F219" s="2" t="s">
        <v>22</v>
      </c>
      <c r="G219" s="2" t="s">
        <v>156</v>
      </c>
      <c r="H219" s="2" t="s">
        <v>797</v>
      </c>
      <c r="I219" s="2">
        <v>9256043375</v>
      </c>
      <c r="J219" s="2" t="s">
        <v>564</v>
      </c>
      <c r="K219" s="2" t="s">
        <v>531</v>
      </c>
      <c r="L219" s="2">
        <v>6819679947</v>
      </c>
      <c r="M219" s="2" t="s">
        <v>1246</v>
      </c>
      <c r="N219" s="2" t="s">
        <v>60</v>
      </c>
      <c r="O219" s="2">
        <v>9712</v>
      </c>
      <c r="P219" s="2" t="s">
        <v>77</v>
      </c>
      <c r="Q219" s="3">
        <v>0.8</v>
      </c>
      <c r="R219" s="2" t="s">
        <v>1247</v>
      </c>
    </row>
    <row r="220" spans="1:18" ht="15" customHeight="1" x14ac:dyDescent="0.25">
      <c r="A220" s="2">
        <v>219</v>
      </c>
      <c r="B220" s="2" t="s">
        <v>1248</v>
      </c>
      <c r="C220" s="2" t="s">
        <v>1141</v>
      </c>
      <c r="D220" s="2" t="s">
        <v>1249</v>
      </c>
      <c r="E220" s="2" t="s">
        <v>21</v>
      </c>
      <c r="F220" s="2" t="s">
        <v>22</v>
      </c>
      <c r="G220" s="2" t="s">
        <v>23</v>
      </c>
      <c r="H220" s="2" t="s">
        <v>1250</v>
      </c>
      <c r="I220" s="2">
        <v>7897159606</v>
      </c>
      <c r="J220" s="2" t="s">
        <v>661</v>
      </c>
      <c r="K220" s="2" t="s">
        <v>669</v>
      </c>
      <c r="L220" s="2">
        <v>9355116198</v>
      </c>
      <c r="M220" s="2" t="s">
        <v>1251</v>
      </c>
      <c r="N220" s="2" t="s">
        <v>202</v>
      </c>
      <c r="O220" s="2">
        <v>11696</v>
      </c>
      <c r="P220" s="2" t="s">
        <v>70</v>
      </c>
      <c r="Q220" s="3">
        <v>0.61</v>
      </c>
      <c r="R220" s="2" t="s">
        <v>1252</v>
      </c>
    </row>
    <row r="221" spans="1:18" ht="15" customHeight="1" x14ac:dyDescent="0.25">
      <c r="A221" s="2">
        <v>220</v>
      </c>
      <c r="B221" s="2" t="s">
        <v>1253</v>
      </c>
      <c r="C221" s="2" t="s">
        <v>1141</v>
      </c>
      <c r="D221" s="2" t="s">
        <v>1148</v>
      </c>
      <c r="E221" s="2" t="s">
        <v>55</v>
      </c>
      <c r="F221" s="2" t="s">
        <v>22</v>
      </c>
      <c r="G221" s="2" t="s">
        <v>156</v>
      </c>
      <c r="H221" s="2" t="s">
        <v>1254</v>
      </c>
      <c r="I221" s="2">
        <v>7780525215</v>
      </c>
      <c r="J221" s="2" t="s">
        <v>1201</v>
      </c>
      <c r="K221" s="2" t="s">
        <v>1255</v>
      </c>
      <c r="L221" s="2">
        <v>8910790724</v>
      </c>
      <c r="M221" s="2" t="s">
        <v>1256</v>
      </c>
      <c r="N221" s="2" t="s">
        <v>107</v>
      </c>
      <c r="O221" s="2">
        <v>6849</v>
      </c>
      <c r="P221" s="2" t="s">
        <v>77</v>
      </c>
      <c r="Q221" s="3">
        <v>0.96</v>
      </c>
      <c r="R221" s="2" t="s">
        <v>1257</v>
      </c>
    </row>
    <row r="222" spans="1:18" ht="15" customHeight="1" x14ac:dyDescent="0.25">
      <c r="A222" s="2">
        <v>221</v>
      </c>
      <c r="B222" s="2" t="s">
        <v>1258</v>
      </c>
      <c r="C222" s="2" t="s">
        <v>1141</v>
      </c>
      <c r="D222" s="2" t="s">
        <v>1233</v>
      </c>
      <c r="E222" s="2" t="s">
        <v>55</v>
      </c>
      <c r="F222" s="2" t="s">
        <v>22</v>
      </c>
      <c r="G222" s="2" t="s">
        <v>23</v>
      </c>
      <c r="H222" s="2" t="s">
        <v>1259</v>
      </c>
      <c r="I222" s="2">
        <v>9399694490</v>
      </c>
      <c r="J222" s="2" t="s">
        <v>1260</v>
      </c>
      <c r="K222" s="2" t="s">
        <v>1261</v>
      </c>
      <c r="L222" s="2">
        <v>8239657875</v>
      </c>
      <c r="M222" s="2" t="s">
        <v>1262</v>
      </c>
      <c r="N222" s="2" t="s">
        <v>195</v>
      </c>
      <c r="O222" s="2">
        <v>5319</v>
      </c>
      <c r="P222" s="2" t="s">
        <v>77</v>
      </c>
      <c r="Q222" s="3">
        <v>0.63</v>
      </c>
      <c r="R222" s="2" t="s">
        <v>1263</v>
      </c>
    </row>
    <row r="223" spans="1:18" ht="15" customHeight="1" x14ac:dyDescent="0.25">
      <c r="A223" s="2">
        <v>222</v>
      </c>
      <c r="B223" s="2" t="s">
        <v>1264</v>
      </c>
      <c r="C223" s="2" t="s">
        <v>1141</v>
      </c>
      <c r="D223" s="2" t="s">
        <v>1204</v>
      </c>
      <c r="E223" s="2" t="s">
        <v>55</v>
      </c>
      <c r="F223" s="2" t="s">
        <v>22</v>
      </c>
      <c r="G223" s="2" t="s">
        <v>156</v>
      </c>
      <c r="H223" s="2" t="s">
        <v>1265</v>
      </c>
      <c r="I223" s="2">
        <v>8178255153</v>
      </c>
      <c r="J223" s="2" t="s">
        <v>1050</v>
      </c>
      <c r="K223" s="2" t="s">
        <v>1266</v>
      </c>
      <c r="L223" s="2">
        <v>8664138658</v>
      </c>
      <c r="M223" s="2" t="s">
        <v>1267</v>
      </c>
      <c r="N223" s="2" t="s">
        <v>146</v>
      </c>
      <c r="O223" s="2">
        <v>8140</v>
      </c>
      <c r="P223" s="2" t="s">
        <v>29</v>
      </c>
      <c r="Q223" s="3">
        <v>0.95</v>
      </c>
      <c r="R223" s="2" t="s">
        <v>1268</v>
      </c>
    </row>
    <row r="224" spans="1:18" ht="15" customHeight="1" x14ac:dyDescent="0.25">
      <c r="A224" s="2">
        <v>223</v>
      </c>
      <c r="B224" s="2" t="s">
        <v>1269</v>
      </c>
      <c r="C224" s="2" t="s">
        <v>1141</v>
      </c>
      <c r="D224" s="2" t="s">
        <v>1270</v>
      </c>
      <c r="E224" s="2" t="s">
        <v>21</v>
      </c>
      <c r="F224" s="2" t="s">
        <v>22</v>
      </c>
      <c r="G224" s="2" t="s">
        <v>35</v>
      </c>
      <c r="H224" s="2" t="s">
        <v>1271</v>
      </c>
      <c r="I224" s="2">
        <v>8334553833</v>
      </c>
      <c r="J224" s="2" t="s">
        <v>1272</v>
      </c>
      <c r="K224" s="2" t="s">
        <v>1273</v>
      </c>
      <c r="L224" s="2">
        <v>9702728525</v>
      </c>
      <c r="M224" s="2" t="s">
        <v>1274</v>
      </c>
      <c r="N224" s="2" t="s">
        <v>138</v>
      </c>
      <c r="O224" s="2">
        <v>7314</v>
      </c>
      <c r="P224" s="2" t="s">
        <v>139</v>
      </c>
      <c r="Q224" s="3">
        <v>0.78</v>
      </c>
      <c r="R224" s="2" t="s">
        <v>1275</v>
      </c>
    </row>
    <row r="225" spans="1:18" ht="15" customHeight="1" x14ac:dyDescent="0.25">
      <c r="A225" s="2">
        <v>224</v>
      </c>
      <c r="B225" s="2" t="s">
        <v>1276</v>
      </c>
      <c r="C225" s="2" t="s">
        <v>1141</v>
      </c>
      <c r="D225" s="2" t="s">
        <v>1277</v>
      </c>
      <c r="E225" s="2" t="s">
        <v>21</v>
      </c>
      <c r="F225" s="2" t="s">
        <v>22</v>
      </c>
      <c r="G225" s="2" t="s">
        <v>45</v>
      </c>
      <c r="H225" s="2" t="s">
        <v>1278</v>
      </c>
      <c r="I225" s="2">
        <v>8126527569</v>
      </c>
      <c r="J225" s="2" t="s">
        <v>1279</v>
      </c>
      <c r="K225" s="2" t="s">
        <v>1280</v>
      </c>
      <c r="L225" s="2">
        <v>8652235149</v>
      </c>
      <c r="M225" s="2" t="s">
        <v>1281</v>
      </c>
      <c r="N225" s="2" t="s">
        <v>28</v>
      </c>
      <c r="O225" s="2">
        <v>11022</v>
      </c>
      <c r="P225" s="2" t="s">
        <v>139</v>
      </c>
      <c r="Q225" s="3">
        <v>0.95</v>
      </c>
      <c r="R225" s="2" t="s">
        <v>1282</v>
      </c>
    </row>
    <row r="226" spans="1:18" ht="15" customHeight="1" x14ac:dyDescent="0.25">
      <c r="A226" s="2">
        <v>225</v>
      </c>
      <c r="B226" s="2" t="s">
        <v>1283</v>
      </c>
      <c r="C226" s="2" t="s">
        <v>1141</v>
      </c>
      <c r="D226" s="2" t="s">
        <v>1148</v>
      </c>
      <c r="E226" s="2" t="s">
        <v>33</v>
      </c>
      <c r="F226" s="2" t="s">
        <v>22</v>
      </c>
      <c r="G226" s="2" t="s">
        <v>102</v>
      </c>
      <c r="H226" s="2" t="s">
        <v>56</v>
      </c>
      <c r="I226" s="2">
        <v>7835948208</v>
      </c>
      <c r="J226" s="2" t="s">
        <v>57</v>
      </c>
      <c r="K226" s="2" t="s">
        <v>1284</v>
      </c>
      <c r="L226" s="2">
        <v>9997288545</v>
      </c>
      <c r="M226" s="2" t="s">
        <v>768</v>
      </c>
      <c r="N226" s="2" t="s">
        <v>195</v>
      </c>
      <c r="O226" s="2">
        <v>5748</v>
      </c>
      <c r="P226" s="2" t="s">
        <v>139</v>
      </c>
      <c r="Q226" s="3">
        <v>0.59</v>
      </c>
      <c r="R226" s="2" t="s">
        <v>1285</v>
      </c>
    </row>
    <row r="227" spans="1:18" ht="15" customHeight="1" x14ac:dyDescent="0.25">
      <c r="A227" s="2">
        <v>226</v>
      </c>
      <c r="B227" s="2" t="s">
        <v>1286</v>
      </c>
      <c r="C227" s="2" t="s">
        <v>1141</v>
      </c>
      <c r="D227" s="2" t="s">
        <v>1180</v>
      </c>
      <c r="E227" s="2" t="s">
        <v>21</v>
      </c>
      <c r="F227" s="2" t="s">
        <v>22</v>
      </c>
      <c r="G227" s="2" t="s">
        <v>45</v>
      </c>
      <c r="H227" s="2" t="s">
        <v>1192</v>
      </c>
      <c r="I227" s="2">
        <v>6717361056</v>
      </c>
      <c r="J227" s="2" t="s">
        <v>1287</v>
      </c>
      <c r="K227" s="2" t="s">
        <v>1288</v>
      </c>
      <c r="L227" s="2">
        <v>7377721135</v>
      </c>
      <c r="M227" s="2" t="s">
        <v>1289</v>
      </c>
      <c r="N227" s="2" t="s">
        <v>99</v>
      </c>
      <c r="O227" s="2">
        <v>11740</v>
      </c>
      <c r="P227" s="2" t="s">
        <v>61</v>
      </c>
      <c r="Q227" s="3">
        <v>0.56000000000000005</v>
      </c>
      <c r="R227" s="2" t="s">
        <v>1290</v>
      </c>
    </row>
    <row r="228" spans="1:18" ht="15" customHeight="1" x14ac:dyDescent="0.25">
      <c r="A228" s="2">
        <v>227</v>
      </c>
      <c r="B228" s="2" t="s">
        <v>1291</v>
      </c>
      <c r="C228" s="2" t="s">
        <v>1141</v>
      </c>
      <c r="D228" s="2" t="s">
        <v>1292</v>
      </c>
      <c r="E228" s="2" t="s">
        <v>33</v>
      </c>
      <c r="F228" s="2" t="s">
        <v>22</v>
      </c>
      <c r="G228" s="2" t="s">
        <v>45</v>
      </c>
      <c r="H228" s="2" t="s">
        <v>1293</v>
      </c>
      <c r="I228" s="2">
        <v>6484077593</v>
      </c>
      <c r="J228" s="2" t="s">
        <v>1294</v>
      </c>
      <c r="K228" s="2" t="s">
        <v>263</v>
      </c>
      <c r="L228" s="2">
        <v>6411209672</v>
      </c>
      <c r="M228" s="2" t="s">
        <v>1295</v>
      </c>
      <c r="N228" s="2" t="s">
        <v>462</v>
      </c>
      <c r="O228" s="2">
        <v>5683</v>
      </c>
      <c r="P228" s="2" t="s">
        <v>51</v>
      </c>
      <c r="Q228" s="3">
        <v>0.72</v>
      </c>
      <c r="R228" s="2" t="s">
        <v>277</v>
      </c>
    </row>
    <row r="229" spans="1:18" ht="15" customHeight="1" x14ac:dyDescent="0.25">
      <c r="A229" s="2">
        <v>228</v>
      </c>
      <c r="B229" s="2" t="s">
        <v>1296</v>
      </c>
      <c r="C229" s="2" t="s">
        <v>1141</v>
      </c>
      <c r="D229" s="2" t="s">
        <v>1297</v>
      </c>
      <c r="E229" s="2" t="s">
        <v>55</v>
      </c>
      <c r="F229" s="2" t="s">
        <v>34</v>
      </c>
      <c r="G229" s="2" t="s">
        <v>45</v>
      </c>
      <c r="H229" s="2" t="s">
        <v>1298</v>
      </c>
      <c r="I229" s="2">
        <v>7420035728</v>
      </c>
      <c r="J229" s="2" t="s">
        <v>1299</v>
      </c>
      <c r="K229" s="2" t="s">
        <v>403</v>
      </c>
      <c r="L229" s="2">
        <v>8111972445</v>
      </c>
      <c r="M229" s="2" t="s">
        <v>404</v>
      </c>
      <c r="N229" s="2" t="s">
        <v>107</v>
      </c>
      <c r="O229" s="2">
        <v>6973</v>
      </c>
      <c r="P229" s="2" t="s">
        <v>41</v>
      </c>
      <c r="Q229" s="3">
        <v>0.83</v>
      </c>
      <c r="R229" s="2" t="s">
        <v>1300</v>
      </c>
    </row>
    <row r="230" spans="1:18" ht="15" customHeight="1" x14ac:dyDescent="0.25">
      <c r="A230" s="2">
        <v>229</v>
      </c>
      <c r="B230" s="2" t="s">
        <v>1301</v>
      </c>
      <c r="C230" s="2" t="s">
        <v>1141</v>
      </c>
      <c r="D230" s="2" t="s">
        <v>1245</v>
      </c>
      <c r="E230" s="2" t="s">
        <v>55</v>
      </c>
      <c r="F230" s="2" t="s">
        <v>34</v>
      </c>
      <c r="G230" s="2" t="s">
        <v>156</v>
      </c>
      <c r="H230" s="2" t="s">
        <v>1302</v>
      </c>
      <c r="I230" s="2">
        <v>7272823429</v>
      </c>
      <c r="J230" s="2" t="s">
        <v>1303</v>
      </c>
      <c r="K230" s="2" t="s">
        <v>1304</v>
      </c>
      <c r="L230" s="2">
        <v>7337069279</v>
      </c>
      <c r="M230" s="2" t="s">
        <v>1305</v>
      </c>
      <c r="N230" s="2" t="s">
        <v>215</v>
      </c>
      <c r="O230" s="2">
        <v>9883</v>
      </c>
      <c r="P230" s="2" t="s">
        <v>139</v>
      </c>
      <c r="Q230" s="3">
        <v>0.72</v>
      </c>
      <c r="R230" s="2" t="s">
        <v>1306</v>
      </c>
    </row>
    <row r="231" spans="1:18" ht="15" customHeight="1" x14ac:dyDescent="0.25">
      <c r="A231" s="2">
        <v>230</v>
      </c>
      <c r="B231" s="2" t="s">
        <v>1307</v>
      </c>
      <c r="C231" s="2" t="s">
        <v>1141</v>
      </c>
      <c r="D231" s="2" t="s">
        <v>1308</v>
      </c>
      <c r="E231" s="2" t="s">
        <v>33</v>
      </c>
      <c r="F231" s="2" t="s">
        <v>34</v>
      </c>
      <c r="G231" s="2" t="s">
        <v>23</v>
      </c>
      <c r="H231" s="2" t="s">
        <v>1309</v>
      </c>
      <c r="I231" s="2">
        <v>8483474399</v>
      </c>
      <c r="J231" s="2" t="s">
        <v>1310</v>
      </c>
      <c r="K231" s="2" t="s">
        <v>1311</v>
      </c>
      <c r="L231" s="2">
        <v>7820798124</v>
      </c>
      <c r="M231" s="2" t="s">
        <v>1312</v>
      </c>
      <c r="N231" s="2" t="s">
        <v>271</v>
      </c>
      <c r="O231" s="2">
        <v>9492</v>
      </c>
      <c r="P231" s="2" t="s">
        <v>77</v>
      </c>
      <c r="Q231" s="3">
        <v>0.83</v>
      </c>
      <c r="R231" s="2" t="s">
        <v>1313</v>
      </c>
    </row>
    <row r="232" spans="1:18" ht="15" customHeight="1" x14ac:dyDescent="0.25">
      <c r="A232" s="2">
        <v>231</v>
      </c>
      <c r="B232" s="2" t="s">
        <v>1314</v>
      </c>
      <c r="C232" s="2" t="s">
        <v>1141</v>
      </c>
      <c r="D232" s="2" t="s">
        <v>1270</v>
      </c>
      <c r="E232" s="2" t="s">
        <v>21</v>
      </c>
      <c r="F232" s="2" t="s">
        <v>22</v>
      </c>
      <c r="G232" s="2" t="s">
        <v>156</v>
      </c>
      <c r="H232" s="2" t="s">
        <v>1315</v>
      </c>
      <c r="I232" s="2">
        <v>6436311814</v>
      </c>
      <c r="J232" s="2" t="s">
        <v>1316</v>
      </c>
      <c r="K232" s="2" t="s">
        <v>1317</v>
      </c>
      <c r="L232" s="2">
        <v>7943596127</v>
      </c>
      <c r="M232" s="2" t="s">
        <v>1318</v>
      </c>
      <c r="N232" s="2" t="s">
        <v>195</v>
      </c>
      <c r="O232" s="2">
        <v>5706</v>
      </c>
      <c r="P232" s="2" t="s">
        <v>77</v>
      </c>
      <c r="Q232" s="3">
        <v>0.74</v>
      </c>
      <c r="R232" s="2" t="s">
        <v>368</v>
      </c>
    </row>
    <row r="233" spans="1:18" ht="15" customHeight="1" x14ac:dyDescent="0.25">
      <c r="A233" s="2">
        <v>232</v>
      </c>
      <c r="B233" s="2" t="s">
        <v>1319</v>
      </c>
      <c r="C233" s="2" t="s">
        <v>1141</v>
      </c>
      <c r="D233" s="2" t="s">
        <v>1270</v>
      </c>
      <c r="E233" s="2" t="s">
        <v>55</v>
      </c>
      <c r="F233" s="2" t="s">
        <v>22</v>
      </c>
      <c r="G233" s="2" t="s">
        <v>45</v>
      </c>
      <c r="H233" s="2" t="s">
        <v>1320</v>
      </c>
      <c r="I233" s="2">
        <v>6288731774</v>
      </c>
      <c r="J233" s="2" t="s">
        <v>439</v>
      </c>
      <c r="K233" s="2" t="s">
        <v>1321</v>
      </c>
      <c r="L233" s="2">
        <v>6401309071</v>
      </c>
      <c r="M233" s="2" t="s">
        <v>1267</v>
      </c>
      <c r="N233" s="2" t="s">
        <v>40</v>
      </c>
      <c r="O233" s="2">
        <v>6389</v>
      </c>
      <c r="P233" s="2" t="s">
        <v>61</v>
      </c>
      <c r="Q233" s="3">
        <v>0.84</v>
      </c>
      <c r="R233" s="2" t="s">
        <v>147</v>
      </c>
    </row>
    <row r="234" spans="1:18" ht="15" customHeight="1" x14ac:dyDescent="0.25">
      <c r="A234" s="2">
        <v>233</v>
      </c>
      <c r="B234" s="2" t="s">
        <v>1322</v>
      </c>
      <c r="C234" s="2" t="s">
        <v>1141</v>
      </c>
      <c r="D234" s="2" t="s">
        <v>1238</v>
      </c>
      <c r="E234" s="2" t="s">
        <v>55</v>
      </c>
      <c r="F234" s="2" t="s">
        <v>34</v>
      </c>
      <c r="G234" s="2" t="s">
        <v>156</v>
      </c>
      <c r="H234" s="2" t="s">
        <v>243</v>
      </c>
      <c r="I234" s="2">
        <v>9802128517</v>
      </c>
      <c r="J234" s="2" t="s">
        <v>889</v>
      </c>
      <c r="K234" s="2" t="s">
        <v>1125</v>
      </c>
      <c r="L234" s="2">
        <v>7492794766</v>
      </c>
      <c r="M234" s="2" t="s">
        <v>1323</v>
      </c>
      <c r="N234" s="2" t="s">
        <v>99</v>
      </c>
      <c r="O234" s="2">
        <v>805</v>
      </c>
      <c r="P234" s="2" t="s">
        <v>41</v>
      </c>
      <c r="Q234" s="3">
        <v>0.77</v>
      </c>
      <c r="R234" s="2" t="s">
        <v>1324</v>
      </c>
    </row>
    <row r="235" spans="1:18" ht="15" customHeight="1" x14ac:dyDescent="0.25">
      <c r="A235" s="2">
        <v>234</v>
      </c>
      <c r="B235" s="2" t="s">
        <v>1325</v>
      </c>
      <c r="C235" s="2" t="s">
        <v>1141</v>
      </c>
      <c r="D235" s="2" t="s">
        <v>1326</v>
      </c>
      <c r="E235" s="2" t="s">
        <v>21</v>
      </c>
      <c r="F235" s="2" t="s">
        <v>22</v>
      </c>
      <c r="G235" s="2" t="s">
        <v>35</v>
      </c>
      <c r="H235" s="2" t="s">
        <v>1327</v>
      </c>
      <c r="I235" s="2">
        <v>7913043828</v>
      </c>
      <c r="J235" s="2" t="s">
        <v>1328</v>
      </c>
      <c r="K235" s="2" t="s">
        <v>1329</v>
      </c>
      <c r="L235" s="2">
        <v>7579125557</v>
      </c>
      <c r="M235" s="2" t="s">
        <v>1330</v>
      </c>
      <c r="N235" s="2" t="s">
        <v>202</v>
      </c>
      <c r="O235" s="2">
        <v>2693</v>
      </c>
      <c r="P235" s="2" t="s">
        <v>77</v>
      </c>
      <c r="Q235" s="3">
        <v>0.77</v>
      </c>
      <c r="R235" s="2" t="s">
        <v>1151</v>
      </c>
    </row>
    <row r="236" spans="1:18" ht="15" customHeight="1" x14ac:dyDescent="0.25">
      <c r="A236" s="2">
        <v>235</v>
      </c>
      <c r="B236" s="2" t="s">
        <v>1331</v>
      </c>
      <c r="C236" s="2" t="s">
        <v>1141</v>
      </c>
      <c r="D236" s="2" t="s">
        <v>1204</v>
      </c>
      <c r="E236" s="2" t="s">
        <v>21</v>
      </c>
      <c r="F236" s="2" t="s">
        <v>22</v>
      </c>
      <c r="G236" s="2" t="s">
        <v>35</v>
      </c>
      <c r="H236" s="2" t="s">
        <v>1332</v>
      </c>
      <c r="I236" s="2">
        <v>7656075031</v>
      </c>
      <c r="J236" s="2" t="s">
        <v>1333</v>
      </c>
      <c r="K236" s="2" t="s">
        <v>1334</v>
      </c>
      <c r="L236" s="2">
        <v>8516711804</v>
      </c>
      <c r="M236" s="2" t="s">
        <v>1335</v>
      </c>
      <c r="N236" s="2" t="s">
        <v>161</v>
      </c>
      <c r="O236" s="2">
        <v>8421</v>
      </c>
      <c r="P236" s="2" t="s">
        <v>70</v>
      </c>
      <c r="Q236" s="3">
        <v>0.56999999999999995</v>
      </c>
      <c r="R236" s="2" t="s">
        <v>1336</v>
      </c>
    </row>
    <row r="237" spans="1:18" ht="15" customHeight="1" x14ac:dyDescent="0.25">
      <c r="A237" s="2">
        <v>236</v>
      </c>
      <c r="B237" s="2" t="s">
        <v>1337</v>
      </c>
      <c r="C237" s="2" t="s">
        <v>1141</v>
      </c>
      <c r="D237" s="2" t="s">
        <v>1338</v>
      </c>
      <c r="E237" s="2" t="s">
        <v>33</v>
      </c>
      <c r="F237" s="2" t="s">
        <v>22</v>
      </c>
      <c r="G237" s="2" t="s">
        <v>156</v>
      </c>
      <c r="H237" s="2" t="s">
        <v>1339</v>
      </c>
      <c r="I237" s="2">
        <v>9492234424</v>
      </c>
      <c r="J237" s="2" t="s">
        <v>1340</v>
      </c>
      <c r="K237" s="2" t="s">
        <v>1341</v>
      </c>
      <c r="L237" s="2">
        <v>6654762561</v>
      </c>
      <c r="M237" s="2" t="s">
        <v>1342</v>
      </c>
      <c r="N237" s="2" t="s">
        <v>146</v>
      </c>
      <c r="O237" s="2">
        <v>2191</v>
      </c>
      <c r="P237" s="2" t="s">
        <v>29</v>
      </c>
      <c r="Q237" s="3">
        <v>0.97</v>
      </c>
      <c r="R237" s="2" t="s">
        <v>1343</v>
      </c>
    </row>
    <row r="238" spans="1:18" ht="15" customHeight="1" x14ac:dyDescent="0.25">
      <c r="A238" s="2">
        <v>237</v>
      </c>
      <c r="B238" s="2" t="s">
        <v>1344</v>
      </c>
      <c r="C238" s="2" t="s">
        <v>1141</v>
      </c>
      <c r="D238" s="2" t="s">
        <v>1160</v>
      </c>
      <c r="E238" s="2" t="s">
        <v>33</v>
      </c>
      <c r="F238" s="2" t="s">
        <v>22</v>
      </c>
      <c r="G238" s="2" t="s">
        <v>23</v>
      </c>
      <c r="H238" s="2" t="s">
        <v>1345</v>
      </c>
      <c r="I238" s="2">
        <v>7182772849</v>
      </c>
      <c r="J238" s="2" t="s">
        <v>1346</v>
      </c>
      <c r="K238" s="2" t="s">
        <v>1347</v>
      </c>
      <c r="L238" s="2">
        <v>8327114760</v>
      </c>
      <c r="M238" s="2" t="s">
        <v>1348</v>
      </c>
      <c r="N238" s="2" t="s">
        <v>107</v>
      </c>
      <c r="O238" s="2">
        <v>6281</v>
      </c>
      <c r="P238" s="2" t="s">
        <v>41</v>
      </c>
      <c r="Q238" s="3">
        <v>0.92</v>
      </c>
      <c r="R238" s="2" t="s">
        <v>1349</v>
      </c>
    </row>
    <row r="239" spans="1:18" ht="15" customHeight="1" x14ac:dyDescent="0.25">
      <c r="A239" s="2">
        <v>238</v>
      </c>
      <c r="B239" s="2" t="s">
        <v>1350</v>
      </c>
      <c r="C239" s="2" t="s">
        <v>1141</v>
      </c>
      <c r="D239" s="2" t="s">
        <v>1238</v>
      </c>
      <c r="E239" s="2" t="s">
        <v>21</v>
      </c>
      <c r="F239" s="2" t="s">
        <v>34</v>
      </c>
      <c r="G239" s="2" t="s">
        <v>35</v>
      </c>
      <c r="H239" s="2" t="s">
        <v>1351</v>
      </c>
      <c r="I239" s="2">
        <v>7794989306</v>
      </c>
      <c r="J239" s="2" t="s">
        <v>1352</v>
      </c>
      <c r="K239" s="2" t="s">
        <v>1353</v>
      </c>
      <c r="L239" s="2">
        <v>9124101254</v>
      </c>
      <c r="M239" s="2" t="s">
        <v>1354</v>
      </c>
      <c r="N239" s="2" t="s">
        <v>50</v>
      </c>
      <c r="O239" s="2">
        <v>11331</v>
      </c>
      <c r="P239" s="2" t="s">
        <v>61</v>
      </c>
      <c r="Q239" s="3">
        <v>0.73</v>
      </c>
      <c r="R239" s="2" t="s">
        <v>162</v>
      </c>
    </row>
    <row r="240" spans="1:18" ht="15" customHeight="1" x14ac:dyDescent="0.25">
      <c r="A240" s="2">
        <v>239</v>
      </c>
      <c r="B240" s="2" t="s">
        <v>1355</v>
      </c>
      <c r="C240" s="2" t="s">
        <v>1141</v>
      </c>
      <c r="D240" s="2" t="s">
        <v>1270</v>
      </c>
      <c r="E240" s="2" t="s">
        <v>21</v>
      </c>
      <c r="F240" s="2" t="s">
        <v>34</v>
      </c>
      <c r="G240" s="2" t="s">
        <v>35</v>
      </c>
      <c r="H240" s="2" t="s">
        <v>1186</v>
      </c>
      <c r="I240" s="2">
        <v>6872608028</v>
      </c>
      <c r="J240" s="2" t="s">
        <v>1356</v>
      </c>
      <c r="K240" s="2" t="s">
        <v>1357</v>
      </c>
      <c r="L240" s="2">
        <v>8192071758</v>
      </c>
      <c r="M240" s="2" t="s">
        <v>1358</v>
      </c>
      <c r="N240" s="2" t="s">
        <v>138</v>
      </c>
      <c r="O240" s="2">
        <v>2707</v>
      </c>
      <c r="P240" s="2" t="s">
        <v>29</v>
      </c>
      <c r="Q240" s="3">
        <v>0.77</v>
      </c>
      <c r="R240" s="2" t="s">
        <v>1359</v>
      </c>
    </row>
    <row r="241" spans="1:18" ht="15" customHeight="1" x14ac:dyDescent="0.25">
      <c r="A241" s="2">
        <v>240</v>
      </c>
      <c r="B241" s="2" t="s">
        <v>1360</v>
      </c>
      <c r="C241" s="2" t="s">
        <v>1141</v>
      </c>
      <c r="D241" s="2" t="s">
        <v>1308</v>
      </c>
      <c r="E241" s="2" t="s">
        <v>33</v>
      </c>
      <c r="F241" s="2" t="s">
        <v>22</v>
      </c>
      <c r="G241" s="2" t="s">
        <v>23</v>
      </c>
      <c r="H241" s="2" t="s">
        <v>1361</v>
      </c>
      <c r="I241" s="2">
        <v>6346760672</v>
      </c>
      <c r="J241" s="2" t="s">
        <v>357</v>
      </c>
      <c r="K241" s="2" t="s">
        <v>1362</v>
      </c>
      <c r="L241" s="2">
        <v>9513886549</v>
      </c>
      <c r="M241" s="2" t="s">
        <v>1363</v>
      </c>
      <c r="N241" s="2" t="s">
        <v>28</v>
      </c>
      <c r="O241" s="2">
        <v>7230</v>
      </c>
      <c r="P241" s="2" t="s">
        <v>139</v>
      </c>
      <c r="Q241" s="3">
        <v>0.61</v>
      </c>
      <c r="R241" s="2" t="s">
        <v>1225</v>
      </c>
    </row>
    <row r="242" spans="1:18" ht="15" customHeight="1" x14ac:dyDescent="0.25">
      <c r="A242" s="2">
        <v>241</v>
      </c>
      <c r="B242" s="2" t="s">
        <v>1364</v>
      </c>
      <c r="C242" s="2" t="s">
        <v>1141</v>
      </c>
      <c r="D242" s="2" t="s">
        <v>1277</v>
      </c>
      <c r="E242" s="2" t="s">
        <v>21</v>
      </c>
      <c r="F242" s="2" t="s">
        <v>22</v>
      </c>
      <c r="G242" s="2" t="s">
        <v>35</v>
      </c>
      <c r="H242" s="2" t="s">
        <v>1365</v>
      </c>
      <c r="I242" s="2">
        <v>7747975975</v>
      </c>
      <c r="J242" s="2" t="s">
        <v>1366</v>
      </c>
      <c r="K242" s="2" t="s">
        <v>1133</v>
      </c>
      <c r="L242" s="2">
        <v>6932010779</v>
      </c>
      <c r="M242" s="2" t="s">
        <v>1367</v>
      </c>
      <c r="N242" s="2" t="s">
        <v>462</v>
      </c>
      <c r="O242" s="2">
        <v>2950</v>
      </c>
      <c r="P242" s="2" t="s">
        <v>139</v>
      </c>
      <c r="Q242" s="3">
        <v>0.59</v>
      </c>
      <c r="R242" s="2" t="s">
        <v>1196</v>
      </c>
    </row>
    <row r="243" spans="1:18" ht="15" customHeight="1" x14ac:dyDescent="0.25">
      <c r="A243" s="2">
        <v>242</v>
      </c>
      <c r="B243" s="2" t="s">
        <v>1368</v>
      </c>
      <c r="C243" s="2" t="s">
        <v>1141</v>
      </c>
      <c r="D243" s="2" t="s">
        <v>1292</v>
      </c>
      <c r="E243" s="2" t="s">
        <v>33</v>
      </c>
      <c r="F243" s="2" t="s">
        <v>22</v>
      </c>
      <c r="G243" s="2" t="s">
        <v>35</v>
      </c>
      <c r="H243" s="2" t="s">
        <v>1369</v>
      </c>
      <c r="I243" s="2">
        <v>8612326496</v>
      </c>
      <c r="J243" s="2" t="s">
        <v>1370</v>
      </c>
      <c r="K243" s="2" t="s">
        <v>1371</v>
      </c>
      <c r="L243" s="2">
        <v>7189998443</v>
      </c>
      <c r="M243" s="2" t="s">
        <v>1372</v>
      </c>
      <c r="N243" s="2" t="s">
        <v>462</v>
      </c>
      <c r="O243" s="2">
        <v>4259</v>
      </c>
      <c r="P243" s="2" t="s">
        <v>41</v>
      </c>
      <c r="Q243" s="3">
        <v>0.76</v>
      </c>
      <c r="R243" s="2" t="s">
        <v>1300</v>
      </c>
    </row>
    <row r="244" spans="1:18" ht="15" customHeight="1" x14ac:dyDescent="0.25">
      <c r="A244" s="2">
        <v>243</v>
      </c>
      <c r="B244" s="2" t="s">
        <v>1373</v>
      </c>
      <c r="C244" s="2" t="s">
        <v>1141</v>
      </c>
      <c r="D244" s="2" t="s">
        <v>1245</v>
      </c>
      <c r="E244" s="2" t="s">
        <v>33</v>
      </c>
      <c r="F244" s="2" t="s">
        <v>34</v>
      </c>
      <c r="G244" s="2" t="s">
        <v>156</v>
      </c>
      <c r="H244" s="2" t="s">
        <v>1374</v>
      </c>
      <c r="I244" s="2">
        <v>7557490881</v>
      </c>
      <c r="J244" s="2" t="s">
        <v>1375</v>
      </c>
      <c r="K244" s="2" t="s">
        <v>1376</v>
      </c>
      <c r="L244" s="2">
        <v>8380571840</v>
      </c>
      <c r="M244" s="2" t="s">
        <v>1377</v>
      </c>
      <c r="N244" s="2" t="s">
        <v>215</v>
      </c>
      <c r="O244" s="2">
        <v>9969</v>
      </c>
      <c r="P244" s="2" t="s">
        <v>139</v>
      </c>
      <c r="Q244" s="3">
        <v>0.6</v>
      </c>
      <c r="R244" s="2" t="s">
        <v>1252</v>
      </c>
    </row>
    <row r="245" spans="1:18" ht="15" customHeight="1" x14ac:dyDescent="0.25">
      <c r="A245" s="2">
        <v>244</v>
      </c>
      <c r="B245" s="2" t="s">
        <v>1378</v>
      </c>
      <c r="C245" s="2" t="s">
        <v>1141</v>
      </c>
      <c r="D245" s="2" t="s">
        <v>1233</v>
      </c>
      <c r="E245" s="2" t="s">
        <v>33</v>
      </c>
      <c r="F245" s="2" t="s">
        <v>22</v>
      </c>
      <c r="G245" s="2" t="s">
        <v>45</v>
      </c>
      <c r="H245" s="2" t="s">
        <v>1070</v>
      </c>
      <c r="I245" s="2">
        <v>8931284997</v>
      </c>
      <c r="J245" s="2" t="s">
        <v>1379</v>
      </c>
      <c r="K245" s="2" t="s">
        <v>1380</v>
      </c>
      <c r="L245" s="2">
        <v>9890040374</v>
      </c>
      <c r="M245" s="2" t="s">
        <v>1381</v>
      </c>
      <c r="N245" s="2" t="s">
        <v>195</v>
      </c>
      <c r="O245" s="2">
        <v>7270</v>
      </c>
      <c r="P245" s="2" t="s">
        <v>139</v>
      </c>
      <c r="Q245" s="3">
        <v>0.89</v>
      </c>
      <c r="R245" s="2" t="s">
        <v>1336</v>
      </c>
    </row>
    <row r="246" spans="1:18" ht="15" customHeight="1" x14ac:dyDescent="0.25">
      <c r="A246" s="2">
        <v>245</v>
      </c>
      <c r="B246" s="2" t="s">
        <v>1364</v>
      </c>
      <c r="C246" s="2" t="s">
        <v>1141</v>
      </c>
      <c r="D246" s="2" t="s">
        <v>1270</v>
      </c>
      <c r="E246" s="2" t="s">
        <v>33</v>
      </c>
      <c r="F246" s="2" t="s">
        <v>22</v>
      </c>
      <c r="G246" s="2" t="s">
        <v>23</v>
      </c>
      <c r="H246" s="2" t="s">
        <v>1382</v>
      </c>
      <c r="I246" s="2">
        <v>9744508634</v>
      </c>
      <c r="J246" s="2" t="s">
        <v>1356</v>
      </c>
      <c r="K246" s="2" t="s">
        <v>1383</v>
      </c>
      <c r="L246" s="2">
        <v>9194640346</v>
      </c>
      <c r="M246" s="2" t="s">
        <v>1384</v>
      </c>
      <c r="N246" s="2" t="s">
        <v>50</v>
      </c>
      <c r="O246" s="2">
        <v>4013</v>
      </c>
      <c r="P246" s="2" t="s">
        <v>139</v>
      </c>
      <c r="Q246" s="3">
        <v>0.72</v>
      </c>
      <c r="R246" s="2" t="s">
        <v>1196</v>
      </c>
    </row>
    <row r="247" spans="1:18" ht="15" customHeight="1" x14ac:dyDescent="0.25">
      <c r="A247" s="2">
        <v>246</v>
      </c>
      <c r="B247" s="2" t="s">
        <v>1385</v>
      </c>
      <c r="C247" s="2" t="s">
        <v>1141</v>
      </c>
      <c r="D247" s="2" t="s">
        <v>1270</v>
      </c>
      <c r="E247" s="2" t="s">
        <v>33</v>
      </c>
      <c r="F247" s="2" t="s">
        <v>34</v>
      </c>
      <c r="G247" s="2" t="s">
        <v>156</v>
      </c>
      <c r="H247" s="2" t="s">
        <v>1382</v>
      </c>
      <c r="I247" s="2">
        <v>8309107461</v>
      </c>
      <c r="J247" s="2" t="s">
        <v>1109</v>
      </c>
      <c r="K247" s="2" t="s">
        <v>1386</v>
      </c>
      <c r="L247" s="2">
        <v>6941770040</v>
      </c>
      <c r="M247" s="2" t="s">
        <v>1387</v>
      </c>
      <c r="N247" s="2" t="s">
        <v>107</v>
      </c>
      <c r="O247" s="2">
        <v>7064</v>
      </c>
      <c r="P247" s="2" t="s">
        <v>139</v>
      </c>
      <c r="Q247" s="3">
        <v>0.83</v>
      </c>
      <c r="R247" s="2" t="s">
        <v>1171</v>
      </c>
    </row>
    <row r="248" spans="1:18" ht="15" customHeight="1" x14ac:dyDescent="0.25">
      <c r="A248" s="2">
        <v>247</v>
      </c>
      <c r="B248" s="2" t="s">
        <v>1388</v>
      </c>
      <c r="C248" s="2" t="s">
        <v>1141</v>
      </c>
      <c r="D248" s="2" t="s">
        <v>1148</v>
      </c>
      <c r="E248" s="2" t="s">
        <v>55</v>
      </c>
      <c r="F248" s="2" t="s">
        <v>34</v>
      </c>
      <c r="G248" s="2" t="s">
        <v>23</v>
      </c>
      <c r="H248" s="2" t="s">
        <v>1389</v>
      </c>
      <c r="I248" s="2">
        <v>7655921993</v>
      </c>
      <c r="J248" s="2" t="s">
        <v>1390</v>
      </c>
      <c r="K248" s="2" t="s">
        <v>1391</v>
      </c>
      <c r="L248" s="2">
        <v>6891267770</v>
      </c>
      <c r="M248" s="2" t="s">
        <v>1392</v>
      </c>
      <c r="N248" s="2" t="s">
        <v>271</v>
      </c>
      <c r="O248" s="2">
        <v>6393</v>
      </c>
      <c r="P248" s="2" t="s">
        <v>61</v>
      </c>
      <c r="Q248" s="3">
        <v>0.83</v>
      </c>
      <c r="R248" s="2" t="s">
        <v>1359</v>
      </c>
    </row>
    <row r="249" spans="1:18" ht="15" customHeight="1" x14ac:dyDescent="0.25">
      <c r="A249" s="2">
        <v>248</v>
      </c>
      <c r="B249" s="2" t="s">
        <v>1393</v>
      </c>
      <c r="C249" s="2" t="s">
        <v>1141</v>
      </c>
      <c r="D249" s="2" t="s">
        <v>1245</v>
      </c>
      <c r="E249" s="2" t="s">
        <v>33</v>
      </c>
      <c r="F249" s="2" t="s">
        <v>22</v>
      </c>
      <c r="G249" s="2" t="s">
        <v>35</v>
      </c>
      <c r="H249" s="2" t="s">
        <v>1394</v>
      </c>
      <c r="I249" s="2">
        <v>6699825163</v>
      </c>
      <c r="J249" s="2" t="s">
        <v>1395</v>
      </c>
      <c r="K249" s="2" t="s">
        <v>1396</v>
      </c>
      <c r="L249" s="2">
        <v>6640273782</v>
      </c>
      <c r="M249" s="2" t="s">
        <v>1397</v>
      </c>
      <c r="N249" s="2" t="s">
        <v>60</v>
      </c>
      <c r="O249" s="2">
        <v>6193</v>
      </c>
      <c r="P249" s="2" t="s">
        <v>41</v>
      </c>
      <c r="Q249" s="3">
        <v>0.67</v>
      </c>
      <c r="R249" s="2" t="s">
        <v>1171</v>
      </c>
    </row>
    <row r="250" spans="1:18" ht="15" customHeight="1" x14ac:dyDescent="0.25">
      <c r="A250" s="2">
        <v>249</v>
      </c>
      <c r="B250" s="2" t="s">
        <v>1398</v>
      </c>
      <c r="C250" s="2" t="s">
        <v>1141</v>
      </c>
      <c r="D250" s="2" t="s">
        <v>1180</v>
      </c>
      <c r="E250" s="2" t="s">
        <v>55</v>
      </c>
      <c r="F250" s="2" t="s">
        <v>22</v>
      </c>
      <c r="G250" s="2" t="s">
        <v>35</v>
      </c>
      <c r="H250" s="2" t="s">
        <v>1399</v>
      </c>
      <c r="I250" s="2">
        <v>9224842139</v>
      </c>
      <c r="J250" s="2" t="s">
        <v>1400</v>
      </c>
      <c r="K250" s="2" t="s">
        <v>1401</v>
      </c>
      <c r="L250" s="2">
        <v>8172535838</v>
      </c>
      <c r="M250" s="2" t="s">
        <v>802</v>
      </c>
      <c r="N250" s="2" t="s">
        <v>40</v>
      </c>
      <c r="O250" s="2">
        <v>11873</v>
      </c>
      <c r="P250" s="2" t="s">
        <v>77</v>
      </c>
      <c r="Q250" s="3">
        <v>0.97</v>
      </c>
      <c r="R250" s="2" t="s">
        <v>1252</v>
      </c>
    </row>
    <row r="251" spans="1:18" ht="15" customHeight="1" x14ac:dyDescent="0.25">
      <c r="A251" s="2">
        <v>250</v>
      </c>
      <c r="B251" s="2" t="s">
        <v>1402</v>
      </c>
      <c r="C251" s="2" t="s">
        <v>1141</v>
      </c>
      <c r="D251" s="2" t="s">
        <v>1270</v>
      </c>
      <c r="E251" s="2" t="s">
        <v>33</v>
      </c>
      <c r="F251" s="2" t="s">
        <v>22</v>
      </c>
      <c r="G251" s="2" t="s">
        <v>102</v>
      </c>
      <c r="H251" s="2" t="s">
        <v>1403</v>
      </c>
      <c r="I251" s="2">
        <v>7611697526</v>
      </c>
      <c r="J251" s="2" t="s">
        <v>1404</v>
      </c>
      <c r="K251" s="2" t="s">
        <v>1405</v>
      </c>
      <c r="L251" s="2">
        <v>8479608458</v>
      </c>
      <c r="M251" s="2" t="s">
        <v>1406</v>
      </c>
      <c r="N251" s="2" t="s">
        <v>215</v>
      </c>
      <c r="O251" s="2">
        <v>11982</v>
      </c>
      <c r="P251" s="2" t="s">
        <v>41</v>
      </c>
      <c r="Q251" s="3">
        <v>0.66</v>
      </c>
      <c r="R251" s="2" t="s">
        <v>1285</v>
      </c>
    </row>
    <row r="252" spans="1:18" ht="15" customHeight="1" x14ac:dyDescent="0.25">
      <c r="A252" s="2">
        <v>251</v>
      </c>
      <c r="B252" s="2" t="s">
        <v>1407</v>
      </c>
      <c r="C252" s="2" t="s">
        <v>1141</v>
      </c>
      <c r="D252" s="2" t="s">
        <v>1160</v>
      </c>
      <c r="E252" s="2" t="s">
        <v>21</v>
      </c>
      <c r="F252" s="2" t="s">
        <v>22</v>
      </c>
      <c r="G252" s="2" t="s">
        <v>23</v>
      </c>
      <c r="H252" s="2" t="s">
        <v>1408</v>
      </c>
      <c r="I252" s="2">
        <v>6184275390</v>
      </c>
      <c r="J252" s="2" t="s">
        <v>1409</v>
      </c>
      <c r="K252" s="2" t="s">
        <v>1410</v>
      </c>
      <c r="L252" s="2">
        <v>9759091699</v>
      </c>
      <c r="M252" s="2" t="s">
        <v>1411</v>
      </c>
      <c r="N252" s="2" t="s">
        <v>289</v>
      </c>
      <c r="O252" s="2">
        <v>3771</v>
      </c>
      <c r="P252" s="2" t="s">
        <v>61</v>
      </c>
      <c r="Q252" s="3">
        <v>0.87</v>
      </c>
      <c r="R252" s="2" t="s">
        <v>1225</v>
      </c>
    </row>
    <row r="253" spans="1:18" ht="15" customHeight="1" x14ac:dyDescent="0.25">
      <c r="A253" s="2">
        <v>252</v>
      </c>
      <c r="B253" s="2" t="s">
        <v>1412</v>
      </c>
      <c r="C253" s="2" t="s">
        <v>1141</v>
      </c>
      <c r="D253" s="2" t="s">
        <v>1249</v>
      </c>
      <c r="E253" s="2" t="s">
        <v>33</v>
      </c>
      <c r="F253" s="2" t="s">
        <v>22</v>
      </c>
      <c r="G253" s="2" t="s">
        <v>102</v>
      </c>
      <c r="H253" s="2" t="s">
        <v>1361</v>
      </c>
      <c r="I253" s="2">
        <v>9613592269</v>
      </c>
      <c r="J253" s="2" t="s">
        <v>1413</v>
      </c>
      <c r="K253" s="2" t="s">
        <v>1414</v>
      </c>
      <c r="L253" s="2">
        <v>6639528648</v>
      </c>
      <c r="M253" s="2" t="s">
        <v>1415</v>
      </c>
      <c r="N253" s="2" t="s">
        <v>289</v>
      </c>
      <c r="O253" s="2">
        <v>9912</v>
      </c>
      <c r="P253" s="2" t="s">
        <v>41</v>
      </c>
      <c r="Q253" s="3">
        <v>0.67</v>
      </c>
      <c r="R253" s="2" t="s">
        <v>259</v>
      </c>
    </row>
    <row r="254" spans="1:18" ht="15" customHeight="1" x14ac:dyDescent="0.25">
      <c r="A254" s="2">
        <v>253</v>
      </c>
      <c r="B254" s="2" t="s">
        <v>1416</v>
      </c>
      <c r="C254" s="2" t="s">
        <v>1141</v>
      </c>
      <c r="D254" s="2" t="s">
        <v>1204</v>
      </c>
      <c r="E254" s="2" t="s">
        <v>33</v>
      </c>
      <c r="F254" s="2" t="s">
        <v>22</v>
      </c>
      <c r="G254" s="2" t="s">
        <v>35</v>
      </c>
      <c r="H254" s="2" t="s">
        <v>1417</v>
      </c>
      <c r="I254" s="2">
        <v>7689015467</v>
      </c>
      <c r="J254" s="2" t="s">
        <v>1418</v>
      </c>
      <c r="K254" s="2" t="s">
        <v>1419</v>
      </c>
      <c r="L254" s="2">
        <v>8354626229</v>
      </c>
      <c r="M254" s="2" t="s">
        <v>1420</v>
      </c>
      <c r="N254" s="2" t="s">
        <v>84</v>
      </c>
      <c r="O254" s="2">
        <v>5671</v>
      </c>
      <c r="P254" s="2" t="s">
        <v>29</v>
      </c>
      <c r="Q254" s="3">
        <v>0.55000000000000004</v>
      </c>
      <c r="R254" s="2" t="s">
        <v>1275</v>
      </c>
    </row>
    <row r="255" spans="1:18" ht="15" customHeight="1" x14ac:dyDescent="0.25">
      <c r="A255" s="2">
        <v>254</v>
      </c>
      <c r="B255" s="2" t="s">
        <v>1421</v>
      </c>
      <c r="C255" s="2" t="s">
        <v>1141</v>
      </c>
      <c r="D255" s="2" t="s">
        <v>1308</v>
      </c>
      <c r="E255" s="2" t="s">
        <v>33</v>
      </c>
      <c r="F255" s="2" t="s">
        <v>22</v>
      </c>
      <c r="G255" s="2" t="s">
        <v>45</v>
      </c>
      <c r="H255" s="2" t="s">
        <v>1422</v>
      </c>
      <c r="I255" s="2">
        <v>7974230575</v>
      </c>
      <c r="J255" s="2" t="s">
        <v>1423</v>
      </c>
      <c r="K255" s="2" t="s">
        <v>1424</v>
      </c>
      <c r="L255" s="2">
        <v>6873969707</v>
      </c>
      <c r="M255" s="2" t="s">
        <v>1425</v>
      </c>
      <c r="N255" s="2" t="s">
        <v>462</v>
      </c>
      <c r="O255" s="2">
        <v>3949</v>
      </c>
      <c r="P255" s="2" t="s">
        <v>77</v>
      </c>
      <c r="Q255" s="3">
        <v>0.85</v>
      </c>
      <c r="R255" s="2" t="s">
        <v>1247</v>
      </c>
    </row>
    <row r="256" spans="1:18" ht="15" customHeight="1" x14ac:dyDescent="0.25">
      <c r="A256" s="2">
        <v>255</v>
      </c>
      <c r="B256" s="2" t="s">
        <v>1426</v>
      </c>
      <c r="C256" s="2" t="s">
        <v>1141</v>
      </c>
      <c r="D256" s="2" t="s">
        <v>1245</v>
      </c>
      <c r="E256" s="2" t="s">
        <v>33</v>
      </c>
      <c r="F256" s="2" t="s">
        <v>22</v>
      </c>
      <c r="G256" s="2" t="s">
        <v>23</v>
      </c>
      <c r="H256" s="2" t="s">
        <v>1427</v>
      </c>
      <c r="I256" s="2">
        <v>8943244821</v>
      </c>
      <c r="J256" s="2" t="s">
        <v>1428</v>
      </c>
      <c r="K256" s="2" t="s">
        <v>1429</v>
      </c>
      <c r="L256" s="2">
        <v>9422159250</v>
      </c>
      <c r="M256" s="2" t="s">
        <v>192</v>
      </c>
      <c r="N256" s="2" t="s">
        <v>161</v>
      </c>
      <c r="O256" s="2">
        <v>2950</v>
      </c>
      <c r="P256" s="2" t="s">
        <v>77</v>
      </c>
      <c r="Q256" s="3">
        <v>0.9</v>
      </c>
      <c r="R256" s="2" t="s">
        <v>1247</v>
      </c>
    </row>
    <row r="257" spans="1:18" ht="15" customHeight="1" x14ac:dyDescent="0.25">
      <c r="A257" s="2">
        <v>256</v>
      </c>
      <c r="B257" s="2" t="s">
        <v>1430</v>
      </c>
      <c r="C257" s="2" t="s">
        <v>1141</v>
      </c>
      <c r="D257" s="2" t="s">
        <v>1233</v>
      </c>
      <c r="E257" s="2" t="s">
        <v>21</v>
      </c>
      <c r="F257" s="2" t="s">
        <v>22</v>
      </c>
      <c r="G257" s="2" t="s">
        <v>23</v>
      </c>
      <c r="H257" s="2" t="s">
        <v>1431</v>
      </c>
      <c r="I257" s="2">
        <v>8469517811</v>
      </c>
      <c r="J257" s="2" t="s">
        <v>1432</v>
      </c>
      <c r="K257" s="2" t="s">
        <v>1433</v>
      </c>
      <c r="L257" s="2">
        <v>6542124908</v>
      </c>
      <c r="M257" s="2" t="s">
        <v>422</v>
      </c>
      <c r="N257" s="2" t="s">
        <v>271</v>
      </c>
      <c r="O257" s="2">
        <v>4030</v>
      </c>
      <c r="P257" s="2" t="s">
        <v>41</v>
      </c>
      <c r="Q257" s="3">
        <v>0.66</v>
      </c>
      <c r="R257" s="2" t="s">
        <v>1243</v>
      </c>
    </row>
    <row r="258" spans="1:18" ht="15" customHeight="1" x14ac:dyDescent="0.25">
      <c r="A258" s="2">
        <v>257</v>
      </c>
      <c r="B258" s="2" t="s">
        <v>1434</v>
      </c>
      <c r="C258" s="2" t="s">
        <v>1141</v>
      </c>
      <c r="D258" s="2" t="s">
        <v>1308</v>
      </c>
      <c r="E258" s="2" t="s">
        <v>21</v>
      </c>
      <c r="F258" s="2" t="s">
        <v>22</v>
      </c>
      <c r="G258" s="2" t="s">
        <v>35</v>
      </c>
      <c r="H258" s="2" t="s">
        <v>573</v>
      </c>
      <c r="I258" s="2">
        <v>7279932861</v>
      </c>
      <c r="J258" s="2" t="s">
        <v>1435</v>
      </c>
      <c r="K258" s="2" t="s">
        <v>1436</v>
      </c>
      <c r="L258" s="2">
        <v>8552922001</v>
      </c>
      <c r="M258" s="2" t="s">
        <v>1437</v>
      </c>
      <c r="N258" s="2" t="s">
        <v>138</v>
      </c>
      <c r="O258" s="2">
        <v>5163</v>
      </c>
      <c r="P258" s="2" t="s">
        <v>70</v>
      </c>
      <c r="Q258" s="3">
        <v>0.69</v>
      </c>
      <c r="R258" s="2" t="s">
        <v>1190</v>
      </c>
    </row>
    <row r="259" spans="1:18" ht="15" customHeight="1" x14ac:dyDescent="0.25">
      <c r="A259" s="2">
        <v>258</v>
      </c>
      <c r="B259" s="2" t="s">
        <v>1438</v>
      </c>
      <c r="C259" s="2" t="s">
        <v>1141</v>
      </c>
      <c r="D259" s="2" t="s">
        <v>1173</v>
      </c>
      <c r="E259" s="2" t="s">
        <v>21</v>
      </c>
      <c r="F259" s="2" t="s">
        <v>34</v>
      </c>
      <c r="G259" s="2" t="s">
        <v>23</v>
      </c>
      <c r="H259" s="2" t="s">
        <v>326</v>
      </c>
      <c r="I259" s="2">
        <v>7297446299</v>
      </c>
      <c r="J259" s="2" t="s">
        <v>1439</v>
      </c>
      <c r="K259" s="2" t="s">
        <v>1440</v>
      </c>
      <c r="L259" s="2">
        <v>6234260583</v>
      </c>
      <c r="M259" s="2" t="s">
        <v>1441</v>
      </c>
      <c r="N259" s="2" t="s">
        <v>146</v>
      </c>
      <c r="O259" s="2">
        <v>5691</v>
      </c>
      <c r="P259" s="2" t="s">
        <v>29</v>
      </c>
      <c r="Q259" s="3">
        <v>0.68</v>
      </c>
      <c r="R259" s="2" t="s">
        <v>1349</v>
      </c>
    </row>
    <row r="260" spans="1:18" ht="15" customHeight="1" x14ac:dyDescent="0.25">
      <c r="A260" s="2">
        <v>259</v>
      </c>
      <c r="B260" s="2" t="s">
        <v>1442</v>
      </c>
      <c r="C260" s="2" t="s">
        <v>1141</v>
      </c>
      <c r="D260" s="2" t="s">
        <v>1173</v>
      </c>
      <c r="E260" s="2" t="s">
        <v>21</v>
      </c>
      <c r="F260" s="2" t="s">
        <v>34</v>
      </c>
      <c r="G260" s="2" t="s">
        <v>156</v>
      </c>
      <c r="H260" s="2" t="s">
        <v>1443</v>
      </c>
      <c r="I260" s="2">
        <v>6803121225</v>
      </c>
      <c r="J260" s="2" t="s">
        <v>1011</v>
      </c>
      <c r="K260" s="2" t="s">
        <v>1444</v>
      </c>
      <c r="L260" s="2">
        <v>9432184213</v>
      </c>
      <c r="M260" s="2" t="s">
        <v>510</v>
      </c>
      <c r="N260" s="2" t="s">
        <v>50</v>
      </c>
      <c r="O260" s="2">
        <v>1545</v>
      </c>
      <c r="P260" s="2" t="s">
        <v>77</v>
      </c>
      <c r="Q260" s="3">
        <v>0.79</v>
      </c>
      <c r="R260" s="2" t="s">
        <v>1236</v>
      </c>
    </row>
    <row r="261" spans="1:18" ht="15" customHeight="1" x14ac:dyDescent="0.25">
      <c r="A261" s="2">
        <v>260</v>
      </c>
      <c r="B261" s="2" t="s">
        <v>1445</v>
      </c>
      <c r="C261" s="2" t="s">
        <v>1141</v>
      </c>
      <c r="D261" s="2" t="s">
        <v>1297</v>
      </c>
      <c r="E261" s="2" t="s">
        <v>33</v>
      </c>
      <c r="F261" s="2" t="s">
        <v>22</v>
      </c>
      <c r="G261" s="2" t="s">
        <v>23</v>
      </c>
      <c r="H261" s="2" t="s">
        <v>1320</v>
      </c>
      <c r="I261" s="2">
        <v>7734399876</v>
      </c>
      <c r="J261" s="2" t="s">
        <v>1446</v>
      </c>
      <c r="K261" s="2" t="s">
        <v>1447</v>
      </c>
      <c r="L261" s="2">
        <v>9777582116</v>
      </c>
      <c r="M261" s="2" t="s">
        <v>1448</v>
      </c>
      <c r="N261" s="2" t="s">
        <v>138</v>
      </c>
      <c r="O261" s="2">
        <v>968</v>
      </c>
      <c r="P261" s="2" t="s">
        <v>51</v>
      </c>
      <c r="Q261" s="3">
        <v>0.84</v>
      </c>
      <c r="R261" s="2" t="s">
        <v>1231</v>
      </c>
    </row>
    <row r="262" spans="1:18" ht="15" customHeight="1" x14ac:dyDescent="0.25">
      <c r="A262" s="2">
        <v>261</v>
      </c>
      <c r="B262" s="2" t="s">
        <v>1449</v>
      </c>
      <c r="C262" s="2" t="s">
        <v>1141</v>
      </c>
      <c r="D262" s="2" t="s">
        <v>1148</v>
      </c>
      <c r="E262" s="2" t="s">
        <v>55</v>
      </c>
      <c r="F262" s="2" t="s">
        <v>22</v>
      </c>
      <c r="G262" s="2" t="s">
        <v>102</v>
      </c>
      <c r="H262" s="2" t="s">
        <v>1450</v>
      </c>
      <c r="I262" s="2">
        <v>6100099158</v>
      </c>
      <c r="J262" s="2" t="s">
        <v>1451</v>
      </c>
      <c r="K262" s="2" t="s">
        <v>1452</v>
      </c>
      <c r="L262" s="2">
        <v>7469243620</v>
      </c>
      <c r="M262" s="2" t="s">
        <v>1453</v>
      </c>
      <c r="N262" s="2" t="s">
        <v>60</v>
      </c>
      <c r="O262" s="2">
        <v>8391</v>
      </c>
      <c r="P262" s="2" t="s">
        <v>139</v>
      </c>
      <c r="Q262" s="3">
        <v>0.65</v>
      </c>
      <c r="R262" s="2" t="s">
        <v>1349</v>
      </c>
    </row>
    <row r="263" spans="1:18" ht="15" customHeight="1" x14ac:dyDescent="0.25">
      <c r="A263" s="2">
        <v>262</v>
      </c>
      <c r="B263" s="2" t="s">
        <v>1454</v>
      </c>
      <c r="C263" s="2" t="s">
        <v>1141</v>
      </c>
      <c r="D263" s="2" t="s">
        <v>1245</v>
      </c>
      <c r="E263" s="2" t="s">
        <v>21</v>
      </c>
      <c r="F263" s="2" t="s">
        <v>22</v>
      </c>
      <c r="G263" s="2" t="s">
        <v>45</v>
      </c>
      <c r="H263" s="2" t="s">
        <v>1026</v>
      </c>
      <c r="I263" s="2">
        <v>9523861817</v>
      </c>
      <c r="J263" s="2" t="s">
        <v>1455</v>
      </c>
      <c r="K263" s="2" t="s">
        <v>1456</v>
      </c>
      <c r="L263" s="2">
        <v>7275309282</v>
      </c>
      <c r="M263" s="2" t="s">
        <v>1457</v>
      </c>
      <c r="N263" s="2" t="s">
        <v>289</v>
      </c>
      <c r="O263" s="2">
        <v>5408</v>
      </c>
      <c r="P263" s="2" t="s">
        <v>51</v>
      </c>
      <c r="Q263" s="3">
        <v>0.88</v>
      </c>
      <c r="R263" s="2" t="s">
        <v>1252</v>
      </c>
    </row>
    <row r="264" spans="1:18" ht="15" customHeight="1" x14ac:dyDescent="0.25">
      <c r="A264" s="2">
        <v>263</v>
      </c>
      <c r="B264" s="2" t="s">
        <v>1458</v>
      </c>
      <c r="C264" s="2" t="s">
        <v>1141</v>
      </c>
      <c r="D264" s="2" t="s">
        <v>1270</v>
      </c>
      <c r="E264" s="2" t="s">
        <v>33</v>
      </c>
      <c r="F264" s="2" t="s">
        <v>34</v>
      </c>
      <c r="G264" s="2" t="s">
        <v>23</v>
      </c>
      <c r="H264" s="2" t="s">
        <v>1459</v>
      </c>
      <c r="I264" s="2">
        <v>9763281908</v>
      </c>
      <c r="J264" s="2" t="s">
        <v>1460</v>
      </c>
      <c r="K264" s="2" t="s">
        <v>1461</v>
      </c>
      <c r="L264" s="2">
        <v>9392201792</v>
      </c>
      <c r="M264" s="2" t="s">
        <v>1462</v>
      </c>
      <c r="N264" s="2" t="s">
        <v>40</v>
      </c>
      <c r="O264" s="2">
        <v>5164</v>
      </c>
      <c r="P264" s="2" t="s">
        <v>29</v>
      </c>
      <c r="Q264" s="3">
        <v>0.87</v>
      </c>
      <c r="R264" s="2" t="s">
        <v>1285</v>
      </c>
    </row>
    <row r="265" spans="1:18" ht="15" customHeight="1" x14ac:dyDescent="0.25">
      <c r="A265" s="2">
        <v>264</v>
      </c>
      <c r="B265" s="2" t="s">
        <v>1463</v>
      </c>
      <c r="C265" s="2" t="s">
        <v>1141</v>
      </c>
      <c r="D265" s="2" t="s">
        <v>1142</v>
      </c>
      <c r="E265" s="2" t="s">
        <v>21</v>
      </c>
      <c r="F265" s="2" t="s">
        <v>34</v>
      </c>
      <c r="G265" s="2" t="s">
        <v>35</v>
      </c>
      <c r="H265" s="2" t="s">
        <v>1464</v>
      </c>
      <c r="I265" s="2">
        <v>7467126134</v>
      </c>
      <c r="J265" s="2" t="s">
        <v>1387</v>
      </c>
      <c r="K265" s="2" t="s">
        <v>1465</v>
      </c>
      <c r="L265" s="2">
        <v>9434552915</v>
      </c>
      <c r="M265" s="2" t="s">
        <v>1466</v>
      </c>
      <c r="N265" s="2" t="s">
        <v>215</v>
      </c>
      <c r="O265" s="2">
        <v>3546</v>
      </c>
      <c r="P265" s="2" t="s">
        <v>51</v>
      </c>
      <c r="Q265" s="3">
        <v>0.67</v>
      </c>
      <c r="R265" s="2" t="s">
        <v>147</v>
      </c>
    </row>
    <row r="266" spans="1:18" ht="15" customHeight="1" x14ac:dyDescent="0.25">
      <c r="A266" s="2">
        <v>265</v>
      </c>
      <c r="B266" s="2" t="s">
        <v>1467</v>
      </c>
      <c r="C266" s="2" t="s">
        <v>1141</v>
      </c>
      <c r="D266" s="2" t="s">
        <v>1185</v>
      </c>
      <c r="E266" s="2" t="s">
        <v>55</v>
      </c>
      <c r="F266" s="2" t="s">
        <v>22</v>
      </c>
      <c r="G266" s="2" t="s">
        <v>102</v>
      </c>
      <c r="H266" s="2" t="s">
        <v>1468</v>
      </c>
      <c r="I266" s="2">
        <v>6230955221</v>
      </c>
      <c r="J266" s="2" t="s">
        <v>1469</v>
      </c>
      <c r="K266" s="2" t="s">
        <v>1470</v>
      </c>
      <c r="L266" s="2">
        <v>7513173592</v>
      </c>
      <c r="M266" s="2" t="s">
        <v>1103</v>
      </c>
      <c r="N266" s="2" t="s">
        <v>99</v>
      </c>
      <c r="O266" s="2">
        <v>2893</v>
      </c>
      <c r="P266" s="2" t="s">
        <v>51</v>
      </c>
      <c r="Q266" s="3">
        <v>0.66</v>
      </c>
      <c r="R266" s="2" t="s">
        <v>147</v>
      </c>
    </row>
    <row r="267" spans="1:18" ht="15" customHeight="1" x14ac:dyDescent="0.25">
      <c r="A267" s="2">
        <v>266</v>
      </c>
      <c r="B267" s="2" t="s">
        <v>1471</v>
      </c>
      <c r="C267" s="2" t="s">
        <v>1141</v>
      </c>
      <c r="D267" s="2" t="s">
        <v>1249</v>
      </c>
      <c r="E267" s="2" t="s">
        <v>21</v>
      </c>
      <c r="F267" s="2" t="s">
        <v>22</v>
      </c>
      <c r="G267" s="2" t="s">
        <v>156</v>
      </c>
      <c r="H267" s="2" t="s">
        <v>1472</v>
      </c>
      <c r="I267" s="2">
        <v>6371992483</v>
      </c>
      <c r="J267" s="2" t="s">
        <v>487</v>
      </c>
      <c r="K267" s="2" t="s">
        <v>1473</v>
      </c>
      <c r="L267" s="2">
        <v>9785605643</v>
      </c>
      <c r="M267" s="2" t="s">
        <v>1366</v>
      </c>
      <c r="N267" s="2" t="s">
        <v>195</v>
      </c>
      <c r="O267" s="2">
        <v>8246</v>
      </c>
      <c r="P267" s="2" t="s">
        <v>77</v>
      </c>
      <c r="Q267" s="3">
        <v>0.84</v>
      </c>
      <c r="R267" s="2" t="s">
        <v>1306</v>
      </c>
    </row>
    <row r="268" spans="1:18" ht="15" customHeight="1" x14ac:dyDescent="0.25">
      <c r="A268" s="2">
        <v>267</v>
      </c>
      <c r="B268" s="2" t="s">
        <v>1474</v>
      </c>
      <c r="C268" s="2" t="s">
        <v>1141</v>
      </c>
      <c r="D268" s="2" t="s">
        <v>1153</v>
      </c>
      <c r="E268" s="2" t="s">
        <v>21</v>
      </c>
      <c r="F268" s="2" t="s">
        <v>22</v>
      </c>
      <c r="G268" s="2" t="s">
        <v>23</v>
      </c>
      <c r="H268" s="2" t="s">
        <v>1475</v>
      </c>
      <c r="I268" s="2">
        <v>6723926702</v>
      </c>
      <c r="J268" s="2" t="s">
        <v>1476</v>
      </c>
      <c r="K268" s="2" t="s">
        <v>1477</v>
      </c>
      <c r="L268" s="2">
        <v>9839170893</v>
      </c>
      <c r="M268" s="2" t="s">
        <v>1478</v>
      </c>
      <c r="N268" s="2" t="s">
        <v>50</v>
      </c>
      <c r="O268" s="2">
        <v>4366</v>
      </c>
      <c r="P268" s="2" t="s">
        <v>29</v>
      </c>
      <c r="Q268" s="3">
        <v>0.74</v>
      </c>
      <c r="R268" s="2" t="s">
        <v>1257</v>
      </c>
    </row>
    <row r="269" spans="1:18" ht="15" customHeight="1" x14ac:dyDescent="0.25">
      <c r="A269" s="2">
        <v>268</v>
      </c>
      <c r="B269" s="2" t="s">
        <v>1479</v>
      </c>
      <c r="C269" s="2" t="s">
        <v>1141</v>
      </c>
      <c r="D269" s="2" t="s">
        <v>1153</v>
      </c>
      <c r="E269" s="2" t="s">
        <v>21</v>
      </c>
      <c r="F269" s="2" t="s">
        <v>34</v>
      </c>
      <c r="G269" s="2" t="s">
        <v>45</v>
      </c>
      <c r="H269" s="2" t="s">
        <v>1480</v>
      </c>
      <c r="I269" s="2">
        <v>9349832483</v>
      </c>
      <c r="J269" s="2" t="s">
        <v>1481</v>
      </c>
      <c r="K269" s="2" t="s">
        <v>1482</v>
      </c>
      <c r="L269" s="2">
        <v>8699524216</v>
      </c>
      <c r="M269" s="2" t="s">
        <v>1483</v>
      </c>
      <c r="N269" s="2" t="s">
        <v>99</v>
      </c>
      <c r="O269" s="2">
        <v>11738</v>
      </c>
      <c r="P269" s="2" t="s">
        <v>139</v>
      </c>
      <c r="Q269" s="3">
        <v>0.7</v>
      </c>
      <c r="R269" s="2" t="s">
        <v>1359</v>
      </c>
    </row>
    <row r="270" spans="1:18" ht="15" customHeight="1" x14ac:dyDescent="0.25">
      <c r="A270" s="2">
        <v>269</v>
      </c>
      <c r="B270" s="2" t="s">
        <v>1484</v>
      </c>
      <c r="C270" s="2" t="s">
        <v>1141</v>
      </c>
      <c r="D270" s="2" t="s">
        <v>1166</v>
      </c>
      <c r="E270" s="2" t="s">
        <v>21</v>
      </c>
      <c r="F270" s="2" t="s">
        <v>22</v>
      </c>
      <c r="G270" s="2" t="s">
        <v>102</v>
      </c>
      <c r="H270" s="2" t="s">
        <v>621</v>
      </c>
      <c r="I270" s="2">
        <v>8447549695</v>
      </c>
      <c r="J270" s="2" t="s">
        <v>1485</v>
      </c>
      <c r="K270" s="2" t="s">
        <v>1486</v>
      </c>
      <c r="L270" s="2">
        <v>9395627385</v>
      </c>
      <c r="M270" s="2" t="s">
        <v>1487</v>
      </c>
      <c r="N270" s="2" t="s">
        <v>161</v>
      </c>
      <c r="O270" s="2">
        <v>4607</v>
      </c>
      <c r="P270" s="2" t="s">
        <v>51</v>
      </c>
      <c r="Q270" s="3">
        <v>0.76</v>
      </c>
      <c r="R270" s="2" t="s">
        <v>1275</v>
      </c>
    </row>
    <row r="271" spans="1:18" ht="15" customHeight="1" x14ac:dyDescent="0.25">
      <c r="A271" s="2">
        <v>270</v>
      </c>
      <c r="B271" s="2" t="s">
        <v>1488</v>
      </c>
      <c r="C271" s="2" t="s">
        <v>1141</v>
      </c>
      <c r="D271" s="2" t="s">
        <v>1204</v>
      </c>
      <c r="E271" s="2" t="s">
        <v>21</v>
      </c>
      <c r="F271" s="2" t="s">
        <v>22</v>
      </c>
      <c r="G271" s="2" t="s">
        <v>45</v>
      </c>
      <c r="H271" s="2" t="s">
        <v>1489</v>
      </c>
      <c r="I271" s="2">
        <v>7444342661</v>
      </c>
      <c r="J271" s="2" t="s">
        <v>1105</v>
      </c>
      <c r="K271" s="2" t="s">
        <v>1490</v>
      </c>
      <c r="L271" s="2">
        <v>6806832877</v>
      </c>
      <c r="M271" s="2" t="s">
        <v>1491</v>
      </c>
      <c r="N271" s="2" t="s">
        <v>202</v>
      </c>
      <c r="O271" s="2">
        <v>4814</v>
      </c>
      <c r="P271" s="2" t="s">
        <v>139</v>
      </c>
      <c r="Q271" s="3">
        <v>0.71</v>
      </c>
      <c r="R271" s="2" t="s">
        <v>1359</v>
      </c>
    </row>
    <row r="272" spans="1:18" ht="15" customHeight="1" x14ac:dyDescent="0.25">
      <c r="A272" s="2">
        <v>271</v>
      </c>
      <c r="B272" s="2" t="s">
        <v>1492</v>
      </c>
      <c r="C272" s="2" t="s">
        <v>1141</v>
      </c>
      <c r="D272" s="2" t="s">
        <v>1166</v>
      </c>
      <c r="E272" s="2" t="s">
        <v>55</v>
      </c>
      <c r="F272" s="2" t="s">
        <v>22</v>
      </c>
      <c r="G272" s="2" t="s">
        <v>35</v>
      </c>
      <c r="H272" s="2" t="s">
        <v>1493</v>
      </c>
      <c r="I272" s="2">
        <v>7133579936</v>
      </c>
      <c r="J272" s="2" t="s">
        <v>1494</v>
      </c>
      <c r="K272" s="2" t="s">
        <v>1495</v>
      </c>
      <c r="L272" s="2">
        <v>7214949614</v>
      </c>
      <c r="M272" s="2" t="s">
        <v>1496</v>
      </c>
      <c r="N272" s="2" t="s">
        <v>161</v>
      </c>
      <c r="O272" s="2">
        <v>10544</v>
      </c>
      <c r="P272" s="2" t="s">
        <v>70</v>
      </c>
      <c r="Q272" s="3">
        <v>0.69</v>
      </c>
      <c r="R272" s="2" t="s">
        <v>1336</v>
      </c>
    </row>
    <row r="273" spans="1:18" ht="15" customHeight="1" x14ac:dyDescent="0.25">
      <c r="A273" s="2">
        <v>272</v>
      </c>
      <c r="B273" s="2" t="s">
        <v>1463</v>
      </c>
      <c r="C273" s="2" t="s">
        <v>1141</v>
      </c>
      <c r="D273" s="2" t="s">
        <v>1180</v>
      </c>
      <c r="E273" s="2" t="s">
        <v>21</v>
      </c>
      <c r="F273" s="2" t="s">
        <v>22</v>
      </c>
      <c r="G273" s="2" t="s">
        <v>45</v>
      </c>
      <c r="H273" s="2" t="s">
        <v>1497</v>
      </c>
      <c r="I273" s="2">
        <v>9993436624</v>
      </c>
      <c r="J273" s="2" t="s">
        <v>901</v>
      </c>
      <c r="K273" s="2" t="s">
        <v>1498</v>
      </c>
      <c r="L273" s="2">
        <v>6602574675</v>
      </c>
      <c r="M273" s="2" t="s">
        <v>1499</v>
      </c>
      <c r="N273" s="2" t="s">
        <v>289</v>
      </c>
      <c r="O273" s="2">
        <v>9115</v>
      </c>
      <c r="P273" s="2" t="s">
        <v>139</v>
      </c>
      <c r="Q273" s="3">
        <v>0.85</v>
      </c>
      <c r="R273" s="2" t="s">
        <v>147</v>
      </c>
    </row>
    <row r="274" spans="1:18" ht="15" customHeight="1" x14ac:dyDescent="0.25">
      <c r="A274" s="2">
        <v>273</v>
      </c>
      <c r="B274" s="2" t="s">
        <v>1500</v>
      </c>
      <c r="C274" s="2" t="s">
        <v>1141</v>
      </c>
      <c r="D274" s="2" t="s">
        <v>1245</v>
      </c>
      <c r="E274" s="2" t="s">
        <v>55</v>
      </c>
      <c r="F274" s="2" t="s">
        <v>22</v>
      </c>
      <c r="G274" s="2" t="s">
        <v>45</v>
      </c>
      <c r="H274" s="2" t="s">
        <v>1501</v>
      </c>
      <c r="I274" s="2">
        <v>7670866707</v>
      </c>
      <c r="J274" s="2" t="s">
        <v>1502</v>
      </c>
      <c r="K274" s="2" t="s">
        <v>531</v>
      </c>
      <c r="L274" s="2">
        <v>9303431575</v>
      </c>
      <c r="M274" s="2" t="s">
        <v>1246</v>
      </c>
      <c r="N274" s="2" t="s">
        <v>60</v>
      </c>
      <c r="O274" s="2">
        <v>1455</v>
      </c>
      <c r="P274" s="2" t="s">
        <v>41</v>
      </c>
      <c r="Q274" s="3">
        <v>0.82</v>
      </c>
      <c r="R274" s="2" t="s">
        <v>1164</v>
      </c>
    </row>
    <row r="275" spans="1:18" ht="15" customHeight="1" x14ac:dyDescent="0.25">
      <c r="A275" s="2">
        <v>274</v>
      </c>
      <c r="B275" s="2" t="s">
        <v>1503</v>
      </c>
      <c r="C275" s="2" t="s">
        <v>1141</v>
      </c>
      <c r="D275" s="2" t="s">
        <v>1270</v>
      </c>
      <c r="E275" s="2" t="s">
        <v>55</v>
      </c>
      <c r="F275" s="2" t="s">
        <v>22</v>
      </c>
      <c r="G275" s="2" t="s">
        <v>23</v>
      </c>
      <c r="H275" s="2" t="s">
        <v>274</v>
      </c>
      <c r="I275" s="2">
        <v>8806019487</v>
      </c>
      <c r="J275" s="2" t="s">
        <v>1504</v>
      </c>
      <c r="K275" s="2" t="s">
        <v>1505</v>
      </c>
      <c r="L275" s="2">
        <v>7673271266</v>
      </c>
      <c r="M275" s="2" t="s">
        <v>1506</v>
      </c>
      <c r="N275" s="2" t="s">
        <v>462</v>
      </c>
      <c r="O275" s="2">
        <v>2228</v>
      </c>
      <c r="P275" s="2" t="s">
        <v>41</v>
      </c>
      <c r="Q275" s="3">
        <v>0.82</v>
      </c>
      <c r="R275" s="2" t="s">
        <v>1219</v>
      </c>
    </row>
    <row r="276" spans="1:18" ht="15" customHeight="1" x14ac:dyDescent="0.25">
      <c r="A276" s="2">
        <v>275</v>
      </c>
      <c r="B276" s="2" t="s">
        <v>1507</v>
      </c>
      <c r="C276" s="2" t="s">
        <v>1141</v>
      </c>
      <c r="D276" s="2" t="s">
        <v>1153</v>
      </c>
      <c r="E276" s="2" t="s">
        <v>33</v>
      </c>
      <c r="F276" s="2" t="s">
        <v>22</v>
      </c>
      <c r="G276" s="2" t="s">
        <v>102</v>
      </c>
      <c r="H276" s="2" t="s">
        <v>1508</v>
      </c>
      <c r="I276" s="2">
        <v>8486556226</v>
      </c>
      <c r="J276" s="2" t="s">
        <v>1509</v>
      </c>
      <c r="K276" s="2" t="s">
        <v>1510</v>
      </c>
      <c r="L276" s="2">
        <v>9580499237</v>
      </c>
      <c r="M276" s="2" t="s">
        <v>1511</v>
      </c>
      <c r="N276" s="2" t="s">
        <v>60</v>
      </c>
      <c r="O276" s="2">
        <v>7255</v>
      </c>
      <c r="P276" s="2" t="s">
        <v>41</v>
      </c>
      <c r="Q276" s="3">
        <v>0.82</v>
      </c>
      <c r="R276" s="2" t="s">
        <v>1359</v>
      </c>
    </row>
    <row r="277" spans="1:18" ht="15" customHeight="1" x14ac:dyDescent="0.25">
      <c r="A277" s="2">
        <v>276</v>
      </c>
      <c r="B277" s="2" t="s">
        <v>1512</v>
      </c>
      <c r="C277" s="2" t="s">
        <v>1141</v>
      </c>
      <c r="D277" s="2" t="s">
        <v>1249</v>
      </c>
      <c r="E277" s="2" t="s">
        <v>33</v>
      </c>
      <c r="F277" s="2" t="s">
        <v>22</v>
      </c>
      <c r="G277" s="2" t="s">
        <v>35</v>
      </c>
      <c r="H277" s="2" t="s">
        <v>1513</v>
      </c>
      <c r="I277" s="2">
        <v>7201240032</v>
      </c>
      <c r="J277" s="2" t="s">
        <v>1514</v>
      </c>
      <c r="K277" s="2" t="s">
        <v>344</v>
      </c>
      <c r="L277" s="2">
        <v>6594318319</v>
      </c>
      <c r="M277" s="2" t="s">
        <v>1515</v>
      </c>
      <c r="N277" s="2" t="s">
        <v>161</v>
      </c>
      <c r="O277" s="2">
        <v>5445</v>
      </c>
      <c r="P277" s="2" t="s">
        <v>51</v>
      </c>
      <c r="Q277" s="3">
        <v>0.68</v>
      </c>
      <c r="R277" s="2" t="s">
        <v>1290</v>
      </c>
    </row>
    <row r="278" spans="1:18" ht="15" customHeight="1" x14ac:dyDescent="0.25">
      <c r="A278" s="2">
        <v>277</v>
      </c>
      <c r="B278" s="2" t="s">
        <v>1516</v>
      </c>
      <c r="C278" s="2" t="s">
        <v>1141</v>
      </c>
      <c r="D278" s="2" t="s">
        <v>1238</v>
      </c>
      <c r="E278" s="2" t="s">
        <v>33</v>
      </c>
      <c r="F278" s="2" t="s">
        <v>22</v>
      </c>
      <c r="G278" s="2" t="s">
        <v>35</v>
      </c>
      <c r="H278" s="2" t="s">
        <v>243</v>
      </c>
      <c r="I278" s="2">
        <v>7624282788</v>
      </c>
      <c r="J278" s="2" t="s">
        <v>889</v>
      </c>
      <c r="K278" s="2" t="s">
        <v>1517</v>
      </c>
      <c r="L278" s="2">
        <v>6739124632</v>
      </c>
      <c r="M278" s="2" t="s">
        <v>1518</v>
      </c>
      <c r="N278" s="2" t="s">
        <v>28</v>
      </c>
      <c r="O278" s="2">
        <v>4317</v>
      </c>
      <c r="P278" s="2" t="s">
        <v>70</v>
      </c>
      <c r="Q278" s="3">
        <v>0.9</v>
      </c>
      <c r="R278" s="2" t="s">
        <v>1275</v>
      </c>
    </row>
    <row r="279" spans="1:18" ht="15" customHeight="1" x14ac:dyDescent="0.25">
      <c r="A279" s="2">
        <v>278</v>
      </c>
      <c r="B279" s="2" t="s">
        <v>1519</v>
      </c>
      <c r="C279" s="2" t="s">
        <v>1141</v>
      </c>
      <c r="D279" s="2" t="s">
        <v>1233</v>
      </c>
      <c r="E279" s="2" t="s">
        <v>33</v>
      </c>
      <c r="F279" s="2" t="s">
        <v>34</v>
      </c>
      <c r="G279" s="2" t="s">
        <v>156</v>
      </c>
      <c r="H279" s="2" t="s">
        <v>1036</v>
      </c>
      <c r="I279" s="2">
        <v>6442863523</v>
      </c>
      <c r="J279" s="2" t="s">
        <v>1037</v>
      </c>
      <c r="K279" s="2" t="s">
        <v>1520</v>
      </c>
      <c r="L279" s="2">
        <v>7450932787</v>
      </c>
      <c r="M279" s="2" t="s">
        <v>1521</v>
      </c>
      <c r="N279" s="2" t="s">
        <v>146</v>
      </c>
      <c r="O279" s="2">
        <v>6200</v>
      </c>
      <c r="P279" s="2" t="s">
        <v>41</v>
      </c>
      <c r="Q279" s="3">
        <v>0.74</v>
      </c>
      <c r="R279" s="2" t="s">
        <v>1257</v>
      </c>
    </row>
    <row r="280" spans="1:18" ht="15" customHeight="1" x14ac:dyDescent="0.25">
      <c r="A280" s="2">
        <v>279</v>
      </c>
      <c r="B280" s="2" t="s">
        <v>1522</v>
      </c>
      <c r="C280" s="2" t="s">
        <v>1141</v>
      </c>
      <c r="D280" s="2" t="s">
        <v>1238</v>
      </c>
      <c r="E280" s="2" t="s">
        <v>21</v>
      </c>
      <c r="F280" s="2" t="s">
        <v>22</v>
      </c>
      <c r="G280" s="2" t="s">
        <v>45</v>
      </c>
      <c r="H280" s="2" t="s">
        <v>1523</v>
      </c>
      <c r="I280" s="2">
        <v>9713579662</v>
      </c>
      <c r="J280" s="2" t="s">
        <v>1524</v>
      </c>
      <c r="K280" s="2" t="s">
        <v>1525</v>
      </c>
      <c r="L280" s="2">
        <v>6688574163</v>
      </c>
      <c r="M280" s="2" t="s">
        <v>1526</v>
      </c>
      <c r="N280" s="2" t="s">
        <v>84</v>
      </c>
      <c r="O280" s="2">
        <v>10250</v>
      </c>
      <c r="P280" s="2" t="s">
        <v>139</v>
      </c>
      <c r="Q280" s="3">
        <v>0.77</v>
      </c>
      <c r="R280" s="2" t="s">
        <v>1324</v>
      </c>
    </row>
    <row r="281" spans="1:18" ht="15" customHeight="1" x14ac:dyDescent="0.25">
      <c r="A281" s="2">
        <v>280</v>
      </c>
      <c r="B281" s="2" t="s">
        <v>1527</v>
      </c>
      <c r="C281" s="2" t="s">
        <v>1141</v>
      </c>
      <c r="D281" s="2" t="s">
        <v>1173</v>
      </c>
      <c r="E281" s="2" t="s">
        <v>33</v>
      </c>
      <c r="F281" s="2" t="s">
        <v>22</v>
      </c>
      <c r="G281" s="2" t="s">
        <v>23</v>
      </c>
      <c r="H281" s="2" t="s">
        <v>1528</v>
      </c>
      <c r="I281" s="2">
        <v>6385891368</v>
      </c>
      <c r="J281" s="2" t="s">
        <v>1529</v>
      </c>
      <c r="K281" s="2" t="s">
        <v>750</v>
      </c>
      <c r="L281" s="2">
        <v>9447260600</v>
      </c>
      <c r="M281" s="2" t="s">
        <v>1530</v>
      </c>
      <c r="N281" s="2" t="s">
        <v>161</v>
      </c>
      <c r="O281" s="2">
        <v>8379</v>
      </c>
      <c r="P281" s="2" t="s">
        <v>139</v>
      </c>
      <c r="Q281" s="3">
        <v>0.64</v>
      </c>
      <c r="R281" s="2" t="s">
        <v>1290</v>
      </c>
    </row>
    <row r="282" spans="1:18" ht="15" customHeight="1" x14ac:dyDescent="0.25">
      <c r="A282" s="2">
        <v>281</v>
      </c>
      <c r="B282" s="2" t="s">
        <v>1531</v>
      </c>
      <c r="C282" s="2" t="s">
        <v>1141</v>
      </c>
      <c r="D282" s="2" t="s">
        <v>1180</v>
      </c>
      <c r="E282" s="2" t="s">
        <v>55</v>
      </c>
      <c r="F282" s="2" t="s">
        <v>22</v>
      </c>
      <c r="G282" s="2" t="s">
        <v>102</v>
      </c>
      <c r="H282" s="2" t="s">
        <v>1532</v>
      </c>
      <c r="I282" s="2">
        <v>9148186901</v>
      </c>
      <c r="J282" s="2" t="s">
        <v>1533</v>
      </c>
      <c r="K282" s="2" t="s">
        <v>1534</v>
      </c>
      <c r="L282" s="2">
        <v>7314410364</v>
      </c>
      <c r="M282" s="2" t="s">
        <v>1535</v>
      </c>
      <c r="N282" s="2" t="s">
        <v>60</v>
      </c>
      <c r="O282" s="2">
        <v>3620</v>
      </c>
      <c r="P282" s="2" t="s">
        <v>70</v>
      </c>
      <c r="Q282" s="3">
        <v>0.7</v>
      </c>
      <c r="R282" s="2" t="s">
        <v>1349</v>
      </c>
    </row>
    <row r="283" spans="1:18" ht="15" customHeight="1" x14ac:dyDescent="0.25">
      <c r="A283" s="2">
        <v>282</v>
      </c>
      <c r="B283" s="2" t="s">
        <v>1536</v>
      </c>
      <c r="C283" s="2" t="s">
        <v>1141</v>
      </c>
      <c r="D283" s="2" t="s">
        <v>1173</v>
      </c>
      <c r="E283" s="2" t="s">
        <v>21</v>
      </c>
      <c r="F283" s="2" t="s">
        <v>22</v>
      </c>
      <c r="G283" s="2" t="s">
        <v>23</v>
      </c>
      <c r="H283" s="2" t="s">
        <v>1537</v>
      </c>
      <c r="I283" s="2">
        <v>7318830034</v>
      </c>
      <c r="J283" s="2" t="s">
        <v>145</v>
      </c>
      <c r="K283" s="2" t="s">
        <v>1063</v>
      </c>
      <c r="L283" s="2">
        <v>8689269569</v>
      </c>
      <c r="M283" s="2" t="s">
        <v>1538</v>
      </c>
      <c r="N283" s="2" t="s">
        <v>161</v>
      </c>
      <c r="O283" s="2">
        <v>5213</v>
      </c>
      <c r="P283" s="2" t="s">
        <v>51</v>
      </c>
      <c r="Q283" s="3">
        <v>0.7</v>
      </c>
      <c r="R283" s="2" t="s">
        <v>1282</v>
      </c>
    </row>
    <row r="284" spans="1:18" ht="15" customHeight="1" x14ac:dyDescent="0.25">
      <c r="A284" s="2">
        <v>283</v>
      </c>
      <c r="B284" s="2" t="s">
        <v>1539</v>
      </c>
      <c r="C284" s="2" t="s">
        <v>1141</v>
      </c>
      <c r="D284" s="2" t="s">
        <v>1238</v>
      </c>
      <c r="E284" s="2" t="s">
        <v>55</v>
      </c>
      <c r="F284" s="2" t="s">
        <v>22</v>
      </c>
      <c r="G284" s="2" t="s">
        <v>156</v>
      </c>
      <c r="H284" s="2" t="s">
        <v>941</v>
      </c>
      <c r="I284" s="2">
        <v>6171508836</v>
      </c>
      <c r="J284" s="2" t="s">
        <v>942</v>
      </c>
      <c r="K284" s="2" t="s">
        <v>1540</v>
      </c>
      <c r="L284" s="2">
        <v>9809069927</v>
      </c>
      <c r="M284" s="2" t="s">
        <v>1541</v>
      </c>
      <c r="N284" s="2" t="s">
        <v>107</v>
      </c>
      <c r="O284" s="2">
        <v>10051</v>
      </c>
      <c r="P284" s="2" t="s">
        <v>29</v>
      </c>
      <c r="Q284" s="3">
        <v>0.78</v>
      </c>
      <c r="R284" s="2" t="s">
        <v>368</v>
      </c>
    </row>
    <row r="285" spans="1:18" ht="15" customHeight="1" x14ac:dyDescent="0.25">
      <c r="A285" s="2">
        <v>284</v>
      </c>
      <c r="B285" s="2" t="s">
        <v>1542</v>
      </c>
      <c r="C285" s="2" t="s">
        <v>1141</v>
      </c>
      <c r="D285" s="2" t="s">
        <v>1180</v>
      </c>
      <c r="E285" s="2" t="s">
        <v>21</v>
      </c>
      <c r="F285" s="2" t="s">
        <v>22</v>
      </c>
      <c r="G285" s="2" t="s">
        <v>45</v>
      </c>
      <c r="H285" s="2" t="s">
        <v>653</v>
      </c>
      <c r="I285" s="2">
        <v>9702033662</v>
      </c>
      <c r="J285" s="2" t="s">
        <v>654</v>
      </c>
      <c r="K285" s="2" t="s">
        <v>1543</v>
      </c>
      <c r="L285" s="2">
        <v>6142683817</v>
      </c>
      <c r="M285" s="2" t="s">
        <v>1544</v>
      </c>
      <c r="N285" s="2" t="s">
        <v>28</v>
      </c>
      <c r="O285" s="2">
        <v>6737</v>
      </c>
      <c r="P285" s="2" t="s">
        <v>139</v>
      </c>
      <c r="Q285" s="3">
        <v>0.97</v>
      </c>
      <c r="R285" s="2" t="s">
        <v>1247</v>
      </c>
    </row>
    <row r="286" spans="1:18" ht="15" customHeight="1" x14ac:dyDescent="0.25">
      <c r="A286" s="2">
        <v>285</v>
      </c>
      <c r="B286" s="2" t="s">
        <v>1545</v>
      </c>
      <c r="C286" s="2" t="s">
        <v>1141</v>
      </c>
      <c r="D286" s="2" t="s">
        <v>1297</v>
      </c>
      <c r="E286" s="2" t="s">
        <v>33</v>
      </c>
      <c r="F286" s="2" t="s">
        <v>22</v>
      </c>
      <c r="G286" s="2" t="s">
        <v>23</v>
      </c>
      <c r="H286" s="2" t="s">
        <v>1546</v>
      </c>
      <c r="I286" s="2">
        <v>8342217581</v>
      </c>
      <c r="J286" s="2" t="s">
        <v>1547</v>
      </c>
      <c r="K286" s="2" t="s">
        <v>1548</v>
      </c>
      <c r="L286" s="2">
        <v>7466990085</v>
      </c>
      <c r="M286" s="2" t="s">
        <v>1549</v>
      </c>
      <c r="N286" s="2" t="s">
        <v>215</v>
      </c>
      <c r="O286" s="2">
        <v>6181</v>
      </c>
      <c r="P286" s="2" t="s">
        <v>29</v>
      </c>
      <c r="Q286" s="3">
        <v>0.7</v>
      </c>
      <c r="R286" s="2" t="s">
        <v>1236</v>
      </c>
    </row>
    <row r="287" spans="1:18" ht="15" customHeight="1" x14ac:dyDescent="0.25">
      <c r="A287" s="2">
        <v>286</v>
      </c>
      <c r="B287" s="2" t="s">
        <v>1550</v>
      </c>
      <c r="C287" s="2" t="s">
        <v>1141</v>
      </c>
      <c r="D287" s="2" t="s">
        <v>1173</v>
      </c>
      <c r="E287" s="2" t="s">
        <v>55</v>
      </c>
      <c r="F287" s="2" t="s">
        <v>22</v>
      </c>
      <c r="G287" s="2" t="s">
        <v>35</v>
      </c>
      <c r="H287" s="2" t="s">
        <v>1551</v>
      </c>
      <c r="I287" s="2">
        <v>7723876967</v>
      </c>
      <c r="J287" s="2" t="s">
        <v>1552</v>
      </c>
      <c r="K287" s="2" t="s">
        <v>1553</v>
      </c>
      <c r="L287" s="2">
        <v>7248294102</v>
      </c>
      <c r="M287" s="2" t="s">
        <v>96</v>
      </c>
      <c r="N287" s="2" t="s">
        <v>28</v>
      </c>
      <c r="O287" s="2">
        <v>7337</v>
      </c>
      <c r="P287" s="2" t="s">
        <v>61</v>
      </c>
      <c r="Q287" s="3">
        <v>0.8</v>
      </c>
      <c r="R287" s="2" t="s">
        <v>1290</v>
      </c>
    </row>
    <row r="288" spans="1:18" ht="15" customHeight="1" x14ac:dyDescent="0.25">
      <c r="A288" s="2">
        <v>287</v>
      </c>
      <c r="B288" s="2" t="s">
        <v>1554</v>
      </c>
      <c r="C288" s="2" t="s">
        <v>1141</v>
      </c>
      <c r="D288" s="2" t="s">
        <v>1238</v>
      </c>
      <c r="E288" s="2" t="s">
        <v>33</v>
      </c>
      <c r="F288" s="2" t="s">
        <v>22</v>
      </c>
      <c r="G288" s="2" t="s">
        <v>23</v>
      </c>
      <c r="H288" s="2" t="s">
        <v>898</v>
      </c>
      <c r="I288" s="2">
        <v>9425717549</v>
      </c>
      <c r="J288" s="2" t="s">
        <v>1555</v>
      </c>
      <c r="K288" s="2" t="s">
        <v>1556</v>
      </c>
      <c r="L288" s="2">
        <v>9900592344</v>
      </c>
      <c r="M288" s="2" t="s">
        <v>1557</v>
      </c>
      <c r="N288" s="2" t="s">
        <v>138</v>
      </c>
      <c r="O288" s="2">
        <v>5701</v>
      </c>
      <c r="P288" s="2" t="s">
        <v>51</v>
      </c>
      <c r="Q288" s="3">
        <v>0.79</v>
      </c>
      <c r="R288" s="2" t="s">
        <v>1257</v>
      </c>
    </row>
    <row r="289" spans="1:18" ht="15" customHeight="1" x14ac:dyDescent="0.25">
      <c r="A289" s="2">
        <v>288</v>
      </c>
      <c r="B289" s="2" t="s">
        <v>1558</v>
      </c>
      <c r="C289" s="2" t="s">
        <v>1141</v>
      </c>
      <c r="D289" s="2" t="s">
        <v>1166</v>
      </c>
      <c r="E289" s="2" t="s">
        <v>21</v>
      </c>
      <c r="F289" s="2" t="s">
        <v>34</v>
      </c>
      <c r="G289" s="2" t="s">
        <v>156</v>
      </c>
      <c r="H289" s="2" t="s">
        <v>1559</v>
      </c>
      <c r="I289" s="2">
        <v>9864524716</v>
      </c>
      <c r="J289" s="2" t="s">
        <v>1027</v>
      </c>
      <c r="K289" s="2" t="s">
        <v>1560</v>
      </c>
      <c r="L289" s="2">
        <v>8297543237</v>
      </c>
      <c r="M289" s="2" t="s">
        <v>1561</v>
      </c>
      <c r="N289" s="2" t="s">
        <v>40</v>
      </c>
      <c r="O289" s="2">
        <v>10422</v>
      </c>
      <c r="P289" s="2" t="s">
        <v>139</v>
      </c>
      <c r="Q289" s="3">
        <v>0.81</v>
      </c>
      <c r="R289" s="2" t="s">
        <v>1247</v>
      </c>
    </row>
    <row r="290" spans="1:18" ht="15" customHeight="1" x14ac:dyDescent="0.25">
      <c r="A290" s="2">
        <v>289</v>
      </c>
      <c r="B290" s="2" t="s">
        <v>1562</v>
      </c>
      <c r="C290" s="2" t="s">
        <v>1141</v>
      </c>
      <c r="D290" s="2" t="s">
        <v>1338</v>
      </c>
      <c r="E290" s="2" t="s">
        <v>21</v>
      </c>
      <c r="F290" s="2" t="s">
        <v>34</v>
      </c>
      <c r="G290" s="2" t="s">
        <v>23</v>
      </c>
      <c r="H290" s="2" t="s">
        <v>1563</v>
      </c>
      <c r="I290" s="2">
        <v>7571678892</v>
      </c>
      <c r="J290" s="2" t="s">
        <v>1564</v>
      </c>
      <c r="K290" s="2" t="s">
        <v>1565</v>
      </c>
      <c r="L290" s="2">
        <v>9838586956</v>
      </c>
      <c r="M290" s="2" t="s">
        <v>1566</v>
      </c>
      <c r="N290" s="2" t="s">
        <v>271</v>
      </c>
      <c r="O290" s="2">
        <v>7194</v>
      </c>
      <c r="P290" s="2" t="s">
        <v>41</v>
      </c>
      <c r="Q290" s="3">
        <v>0.97</v>
      </c>
      <c r="R290" s="2" t="s">
        <v>1285</v>
      </c>
    </row>
    <row r="291" spans="1:18" ht="15" customHeight="1" x14ac:dyDescent="0.25">
      <c r="A291" s="2">
        <v>290</v>
      </c>
      <c r="B291" s="2" t="s">
        <v>1567</v>
      </c>
      <c r="C291" s="2" t="s">
        <v>1141</v>
      </c>
      <c r="D291" s="2" t="s">
        <v>1270</v>
      </c>
      <c r="E291" s="2" t="s">
        <v>33</v>
      </c>
      <c r="F291" s="2" t="s">
        <v>22</v>
      </c>
      <c r="G291" s="2" t="s">
        <v>156</v>
      </c>
      <c r="H291" s="2" t="s">
        <v>1568</v>
      </c>
      <c r="I291" s="2">
        <v>9889382867</v>
      </c>
      <c r="J291" s="2" t="s">
        <v>532</v>
      </c>
      <c r="K291" s="2" t="s">
        <v>1569</v>
      </c>
      <c r="L291" s="2">
        <v>6698826833</v>
      </c>
      <c r="M291" s="2" t="s">
        <v>1570</v>
      </c>
      <c r="N291" s="2" t="s">
        <v>107</v>
      </c>
      <c r="O291" s="2">
        <v>5626</v>
      </c>
      <c r="P291" s="2" t="s">
        <v>77</v>
      </c>
      <c r="Q291" s="3">
        <v>0.81</v>
      </c>
      <c r="R291" s="2" t="s">
        <v>1263</v>
      </c>
    </row>
    <row r="292" spans="1:18" ht="15" customHeight="1" x14ac:dyDescent="0.25">
      <c r="A292" s="2">
        <v>291</v>
      </c>
      <c r="B292" s="2" t="s">
        <v>1571</v>
      </c>
      <c r="C292" s="2" t="s">
        <v>1141</v>
      </c>
      <c r="D292" s="2" t="s">
        <v>1249</v>
      </c>
      <c r="E292" s="2" t="s">
        <v>21</v>
      </c>
      <c r="F292" s="2" t="s">
        <v>22</v>
      </c>
      <c r="G292" s="2" t="s">
        <v>45</v>
      </c>
      <c r="H292" s="2" t="s">
        <v>1572</v>
      </c>
      <c r="I292" s="2">
        <v>6293028062</v>
      </c>
      <c r="J292" s="2" t="s">
        <v>1573</v>
      </c>
      <c r="K292" s="2" t="s">
        <v>1574</v>
      </c>
      <c r="L292" s="2">
        <v>7522052175</v>
      </c>
      <c r="M292" s="2" t="s">
        <v>574</v>
      </c>
      <c r="N292" s="2" t="s">
        <v>202</v>
      </c>
      <c r="O292" s="2">
        <v>5184</v>
      </c>
      <c r="P292" s="2" t="s">
        <v>77</v>
      </c>
      <c r="Q292" s="3">
        <v>0.62</v>
      </c>
      <c r="R292" s="2" t="s">
        <v>1285</v>
      </c>
    </row>
    <row r="293" spans="1:18" ht="15" customHeight="1" x14ac:dyDescent="0.25">
      <c r="A293" s="2">
        <v>292</v>
      </c>
      <c r="B293" s="2" t="s">
        <v>1575</v>
      </c>
      <c r="C293" s="2" t="s">
        <v>1141</v>
      </c>
      <c r="D293" s="2" t="s">
        <v>1185</v>
      </c>
      <c r="E293" s="2" t="s">
        <v>21</v>
      </c>
      <c r="F293" s="2" t="s">
        <v>34</v>
      </c>
      <c r="G293" s="2" t="s">
        <v>35</v>
      </c>
      <c r="H293" s="2" t="s">
        <v>165</v>
      </c>
      <c r="I293" s="2">
        <v>9880474837</v>
      </c>
      <c r="J293" s="2" t="s">
        <v>1576</v>
      </c>
      <c r="K293" s="2" t="s">
        <v>1577</v>
      </c>
      <c r="L293" s="2">
        <v>7506603082</v>
      </c>
      <c r="M293" s="2" t="s">
        <v>1578</v>
      </c>
      <c r="N293" s="2" t="s">
        <v>195</v>
      </c>
      <c r="O293" s="2">
        <v>7949</v>
      </c>
      <c r="P293" s="2" t="s">
        <v>51</v>
      </c>
      <c r="Q293" s="3">
        <v>0.66</v>
      </c>
      <c r="R293" s="2" t="s">
        <v>277</v>
      </c>
    </row>
    <row r="294" spans="1:18" ht="15" customHeight="1" x14ac:dyDescent="0.25">
      <c r="A294" s="2">
        <v>293</v>
      </c>
      <c r="B294" s="2" t="s">
        <v>1579</v>
      </c>
      <c r="C294" s="2" t="s">
        <v>1141</v>
      </c>
      <c r="D294" s="2" t="s">
        <v>1249</v>
      </c>
      <c r="E294" s="2" t="s">
        <v>21</v>
      </c>
      <c r="F294" s="2" t="s">
        <v>22</v>
      </c>
      <c r="G294" s="2" t="s">
        <v>35</v>
      </c>
      <c r="H294" s="2" t="s">
        <v>1580</v>
      </c>
      <c r="I294" s="2">
        <v>7226222619</v>
      </c>
      <c r="J294" s="2" t="s">
        <v>1581</v>
      </c>
      <c r="K294" s="2" t="s">
        <v>1582</v>
      </c>
      <c r="L294" s="2">
        <v>7317810361</v>
      </c>
      <c r="M294" s="2" t="s">
        <v>1583</v>
      </c>
      <c r="N294" s="2" t="s">
        <v>161</v>
      </c>
      <c r="O294" s="2">
        <v>3156</v>
      </c>
      <c r="P294" s="2" t="s">
        <v>41</v>
      </c>
      <c r="Q294" s="3">
        <v>0.61</v>
      </c>
      <c r="R294" s="2" t="s">
        <v>1343</v>
      </c>
    </row>
    <row r="295" spans="1:18" ht="15" customHeight="1" x14ac:dyDescent="0.25">
      <c r="A295" s="2">
        <v>294</v>
      </c>
      <c r="B295" s="2" t="s">
        <v>1584</v>
      </c>
      <c r="C295" s="2" t="s">
        <v>1141</v>
      </c>
      <c r="D295" s="2" t="s">
        <v>1160</v>
      </c>
      <c r="E295" s="2" t="s">
        <v>21</v>
      </c>
      <c r="F295" s="2" t="s">
        <v>22</v>
      </c>
      <c r="G295" s="2" t="s">
        <v>45</v>
      </c>
      <c r="H295" s="2" t="s">
        <v>274</v>
      </c>
      <c r="I295" s="2">
        <v>8765468716</v>
      </c>
      <c r="J295" s="2" t="s">
        <v>1585</v>
      </c>
      <c r="K295" s="2" t="s">
        <v>1586</v>
      </c>
      <c r="L295" s="2">
        <v>7152526165</v>
      </c>
      <c r="M295" s="2" t="s">
        <v>1587</v>
      </c>
      <c r="N295" s="2" t="s">
        <v>215</v>
      </c>
      <c r="O295" s="2">
        <v>10461</v>
      </c>
      <c r="P295" s="2" t="s">
        <v>77</v>
      </c>
      <c r="Q295" s="3">
        <v>0.65</v>
      </c>
      <c r="R295" s="2" t="s">
        <v>259</v>
      </c>
    </row>
    <row r="296" spans="1:18" ht="15" customHeight="1" x14ac:dyDescent="0.25">
      <c r="A296" s="2">
        <v>295</v>
      </c>
      <c r="B296" s="2" t="s">
        <v>1588</v>
      </c>
      <c r="C296" s="2" t="s">
        <v>1141</v>
      </c>
      <c r="D296" s="2" t="s">
        <v>1249</v>
      </c>
      <c r="E296" s="2" t="s">
        <v>55</v>
      </c>
      <c r="F296" s="2" t="s">
        <v>22</v>
      </c>
      <c r="G296" s="2" t="s">
        <v>23</v>
      </c>
      <c r="H296" s="2" t="s">
        <v>1589</v>
      </c>
      <c r="I296" s="2">
        <v>8756152630</v>
      </c>
      <c r="J296" s="2" t="s">
        <v>1590</v>
      </c>
      <c r="K296" s="2" t="s">
        <v>397</v>
      </c>
      <c r="L296" s="2">
        <v>7588915267</v>
      </c>
      <c r="M296" s="2" t="s">
        <v>398</v>
      </c>
      <c r="N296" s="2" t="s">
        <v>271</v>
      </c>
      <c r="O296" s="2">
        <v>11428</v>
      </c>
      <c r="P296" s="2" t="s">
        <v>139</v>
      </c>
      <c r="Q296" s="3">
        <v>0.91</v>
      </c>
      <c r="R296" s="2" t="s">
        <v>1214</v>
      </c>
    </row>
    <row r="297" spans="1:18" ht="15" customHeight="1" x14ac:dyDescent="0.25">
      <c r="A297" s="2">
        <v>296</v>
      </c>
      <c r="B297" s="2" t="s">
        <v>1591</v>
      </c>
      <c r="C297" s="2" t="s">
        <v>1141</v>
      </c>
      <c r="D297" s="2" t="s">
        <v>1249</v>
      </c>
      <c r="E297" s="2" t="s">
        <v>21</v>
      </c>
      <c r="F297" s="2" t="s">
        <v>22</v>
      </c>
      <c r="G297" s="2" t="s">
        <v>102</v>
      </c>
      <c r="H297" s="2" t="s">
        <v>1592</v>
      </c>
      <c r="I297" s="2">
        <v>9663334583</v>
      </c>
      <c r="J297" s="2" t="s">
        <v>1593</v>
      </c>
      <c r="K297" s="2" t="s">
        <v>1594</v>
      </c>
      <c r="L297" s="2">
        <v>7847141233</v>
      </c>
      <c r="M297" s="2" t="s">
        <v>1595</v>
      </c>
      <c r="N297" s="2" t="s">
        <v>60</v>
      </c>
      <c r="O297" s="2">
        <v>6708</v>
      </c>
      <c r="P297" s="2" t="s">
        <v>41</v>
      </c>
      <c r="Q297" s="3">
        <v>0.57999999999999996</v>
      </c>
      <c r="R297" s="2" t="s">
        <v>162</v>
      </c>
    </row>
    <row r="298" spans="1:18" ht="15" customHeight="1" x14ac:dyDescent="0.25">
      <c r="A298" s="2">
        <v>297</v>
      </c>
      <c r="B298" s="2" t="s">
        <v>1596</v>
      </c>
      <c r="C298" s="2" t="s">
        <v>1141</v>
      </c>
      <c r="D298" s="2" t="s">
        <v>1249</v>
      </c>
      <c r="E298" s="2" t="s">
        <v>21</v>
      </c>
      <c r="F298" s="2" t="s">
        <v>22</v>
      </c>
      <c r="G298" s="2" t="s">
        <v>35</v>
      </c>
      <c r="H298" s="2" t="s">
        <v>1597</v>
      </c>
      <c r="I298" s="2">
        <v>8239278422</v>
      </c>
      <c r="J298" s="2" t="s">
        <v>1598</v>
      </c>
      <c r="K298" s="2" t="s">
        <v>1599</v>
      </c>
      <c r="L298" s="2">
        <v>9658029852</v>
      </c>
      <c r="M298" s="2" t="s">
        <v>1600</v>
      </c>
      <c r="N298" s="2" t="s">
        <v>99</v>
      </c>
      <c r="O298" s="2">
        <v>8424</v>
      </c>
      <c r="P298" s="2" t="s">
        <v>29</v>
      </c>
      <c r="Q298" s="3">
        <v>0.85</v>
      </c>
      <c r="R298" s="2" t="s">
        <v>1225</v>
      </c>
    </row>
    <row r="299" spans="1:18" ht="15" customHeight="1" x14ac:dyDescent="0.25">
      <c r="A299" s="2">
        <v>298</v>
      </c>
      <c r="B299" s="2" t="s">
        <v>1601</v>
      </c>
      <c r="C299" s="2" t="s">
        <v>1141</v>
      </c>
      <c r="D299" s="2" t="s">
        <v>1204</v>
      </c>
      <c r="E299" s="2" t="s">
        <v>55</v>
      </c>
      <c r="F299" s="2" t="s">
        <v>34</v>
      </c>
      <c r="G299" s="2" t="s">
        <v>102</v>
      </c>
      <c r="H299" s="2" t="s">
        <v>1602</v>
      </c>
      <c r="I299" s="2">
        <v>7112130346</v>
      </c>
      <c r="J299" s="2" t="s">
        <v>580</v>
      </c>
      <c r="K299" s="2" t="s">
        <v>1603</v>
      </c>
      <c r="L299" s="2">
        <v>7840900181</v>
      </c>
      <c r="M299" s="2" t="s">
        <v>1279</v>
      </c>
      <c r="N299" s="2" t="s">
        <v>195</v>
      </c>
      <c r="O299" s="2">
        <v>525</v>
      </c>
      <c r="P299" s="2" t="s">
        <v>51</v>
      </c>
      <c r="Q299" s="3">
        <v>0.56000000000000005</v>
      </c>
      <c r="R299" s="2" t="s">
        <v>147</v>
      </c>
    </row>
    <row r="300" spans="1:18" ht="15" customHeight="1" x14ac:dyDescent="0.25">
      <c r="A300" s="2">
        <v>299</v>
      </c>
      <c r="B300" s="2" t="s">
        <v>1604</v>
      </c>
      <c r="C300" s="2" t="s">
        <v>1141</v>
      </c>
      <c r="D300" s="2" t="s">
        <v>1173</v>
      </c>
      <c r="E300" s="2" t="s">
        <v>33</v>
      </c>
      <c r="F300" s="2" t="s">
        <v>22</v>
      </c>
      <c r="G300" s="2" t="s">
        <v>35</v>
      </c>
      <c r="H300" s="2" t="s">
        <v>1605</v>
      </c>
      <c r="I300" s="2">
        <v>8822062338</v>
      </c>
      <c r="J300" s="2" t="s">
        <v>244</v>
      </c>
      <c r="K300" s="2" t="s">
        <v>1606</v>
      </c>
      <c r="L300" s="2">
        <v>9609490977</v>
      </c>
      <c r="M300" s="2" t="s">
        <v>1607</v>
      </c>
      <c r="N300" s="2" t="s">
        <v>146</v>
      </c>
      <c r="O300" s="2">
        <v>600</v>
      </c>
      <c r="P300" s="2" t="s">
        <v>51</v>
      </c>
      <c r="Q300" s="3">
        <v>0.84</v>
      </c>
      <c r="R300" s="2" t="s">
        <v>1252</v>
      </c>
    </row>
    <row r="301" spans="1:18" ht="15" customHeight="1" x14ac:dyDescent="0.25">
      <c r="A301" s="2">
        <v>300</v>
      </c>
      <c r="B301" s="2" t="s">
        <v>1608</v>
      </c>
      <c r="C301" s="2" t="s">
        <v>1141</v>
      </c>
      <c r="D301" s="2" t="s">
        <v>1338</v>
      </c>
      <c r="E301" s="2" t="s">
        <v>21</v>
      </c>
      <c r="F301" s="2" t="s">
        <v>22</v>
      </c>
      <c r="G301" s="2" t="s">
        <v>35</v>
      </c>
      <c r="H301" s="2" t="s">
        <v>1609</v>
      </c>
      <c r="I301" s="2">
        <v>6323620127</v>
      </c>
      <c r="J301" s="2" t="s">
        <v>1610</v>
      </c>
      <c r="K301" s="2" t="s">
        <v>1611</v>
      </c>
      <c r="L301" s="2">
        <v>8958494527</v>
      </c>
      <c r="M301" s="2" t="s">
        <v>1612</v>
      </c>
      <c r="N301" s="2" t="s">
        <v>146</v>
      </c>
      <c r="O301" s="2">
        <v>8077</v>
      </c>
      <c r="P301" s="2" t="s">
        <v>41</v>
      </c>
      <c r="Q301" s="3">
        <v>0.9</v>
      </c>
      <c r="R301" s="2" t="s">
        <v>1158</v>
      </c>
    </row>
    <row r="302" spans="1:18" ht="15" customHeight="1" x14ac:dyDescent="0.25">
      <c r="A302" s="2">
        <v>301</v>
      </c>
      <c r="B302" s="2" t="s">
        <v>1613</v>
      </c>
      <c r="C302" s="2" t="s">
        <v>1614</v>
      </c>
      <c r="D302" s="2" t="s">
        <v>1615</v>
      </c>
      <c r="E302" s="2" t="s">
        <v>21</v>
      </c>
      <c r="F302" s="2" t="s">
        <v>22</v>
      </c>
      <c r="G302" s="2" t="s">
        <v>102</v>
      </c>
      <c r="H302" s="2" t="s">
        <v>1616</v>
      </c>
      <c r="I302" s="2">
        <v>6391518128</v>
      </c>
      <c r="J302" s="2" t="s">
        <v>201</v>
      </c>
      <c r="K302" s="2" t="s">
        <v>1617</v>
      </c>
      <c r="L302" s="2">
        <v>9193198413</v>
      </c>
      <c r="M302" s="2" t="s">
        <v>849</v>
      </c>
      <c r="N302" s="2" t="s">
        <v>215</v>
      </c>
      <c r="O302" s="2">
        <v>6056</v>
      </c>
      <c r="P302" s="2" t="s">
        <v>77</v>
      </c>
      <c r="Q302" s="3">
        <v>0.82</v>
      </c>
      <c r="R302" s="2" t="s">
        <v>1618</v>
      </c>
    </row>
    <row r="303" spans="1:18" ht="15" customHeight="1" x14ac:dyDescent="0.25">
      <c r="A303" s="2">
        <v>302</v>
      </c>
      <c r="B303" s="2" t="s">
        <v>1619</v>
      </c>
      <c r="C303" s="2" t="s">
        <v>1614</v>
      </c>
      <c r="D303" s="2" t="s">
        <v>1620</v>
      </c>
      <c r="E303" s="2" t="s">
        <v>21</v>
      </c>
      <c r="F303" s="2" t="s">
        <v>22</v>
      </c>
      <c r="G303" s="2" t="s">
        <v>102</v>
      </c>
      <c r="H303" s="2" t="s">
        <v>1621</v>
      </c>
      <c r="I303" s="2">
        <v>7304238238</v>
      </c>
      <c r="J303" s="2" t="s">
        <v>1622</v>
      </c>
      <c r="K303" s="2" t="s">
        <v>1623</v>
      </c>
      <c r="L303" s="2">
        <v>8619124046</v>
      </c>
      <c r="M303" s="2" t="s">
        <v>1624</v>
      </c>
      <c r="N303" s="2" t="s">
        <v>195</v>
      </c>
      <c r="O303" s="2">
        <v>9103</v>
      </c>
      <c r="P303" s="2" t="s">
        <v>70</v>
      </c>
      <c r="Q303" s="3">
        <v>0.63</v>
      </c>
      <c r="R303" s="2" t="s">
        <v>1625</v>
      </c>
    </row>
    <row r="304" spans="1:18" ht="15" customHeight="1" x14ac:dyDescent="0.25">
      <c r="A304" s="2">
        <v>303</v>
      </c>
      <c r="B304" s="2" t="s">
        <v>1626</v>
      </c>
      <c r="C304" s="2" t="s">
        <v>1614</v>
      </c>
      <c r="D304" s="2" t="s">
        <v>1627</v>
      </c>
      <c r="E304" s="2" t="s">
        <v>33</v>
      </c>
      <c r="F304" s="2" t="s">
        <v>22</v>
      </c>
      <c r="G304" s="2" t="s">
        <v>23</v>
      </c>
      <c r="H304" s="2" t="s">
        <v>1628</v>
      </c>
      <c r="I304" s="2">
        <v>8147276808</v>
      </c>
      <c r="J304" s="2" t="s">
        <v>1629</v>
      </c>
      <c r="K304" s="2" t="s">
        <v>531</v>
      </c>
      <c r="L304" s="2">
        <v>6457867151</v>
      </c>
      <c r="M304" s="2" t="s">
        <v>1246</v>
      </c>
      <c r="N304" s="2" t="s">
        <v>50</v>
      </c>
      <c r="O304" s="2">
        <v>8956</v>
      </c>
      <c r="P304" s="2" t="s">
        <v>29</v>
      </c>
      <c r="Q304" s="3">
        <v>0.98</v>
      </c>
      <c r="R304" s="2" t="s">
        <v>1630</v>
      </c>
    </row>
    <row r="305" spans="1:18" ht="15" customHeight="1" x14ac:dyDescent="0.25">
      <c r="A305" s="2">
        <v>304</v>
      </c>
      <c r="B305" s="2" t="s">
        <v>1631</v>
      </c>
      <c r="C305" s="2" t="s">
        <v>1614</v>
      </c>
      <c r="D305" s="2" t="s">
        <v>1632</v>
      </c>
      <c r="E305" s="2" t="s">
        <v>21</v>
      </c>
      <c r="F305" s="2" t="s">
        <v>34</v>
      </c>
      <c r="G305" s="2" t="s">
        <v>102</v>
      </c>
      <c r="H305" s="2" t="s">
        <v>1633</v>
      </c>
      <c r="I305" s="2">
        <v>9820613955</v>
      </c>
      <c r="J305" s="2" t="s">
        <v>1634</v>
      </c>
      <c r="K305" s="2" t="s">
        <v>1635</v>
      </c>
      <c r="L305" s="2">
        <v>6392760228</v>
      </c>
      <c r="M305" s="2" t="s">
        <v>911</v>
      </c>
      <c r="N305" s="2" t="s">
        <v>215</v>
      </c>
      <c r="O305" s="2">
        <v>9962</v>
      </c>
      <c r="P305" s="2" t="s">
        <v>41</v>
      </c>
      <c r="Q305" s="3">
        <v>0.68</v>
      </c>
      <c r="R305" s="2" t="s">
        <v>1636</v>
      </c>
    </row>
    <row r="306" spans="1:18" ht="15" customHeight="1" x14ac:dyDescent="0.25">
      <c r="A306" s="2">
        <v>305</v>
      </c>
      <c r="B306" s="2" t="s">
        <v>1637</v>
      </c>
      <c r="C306" s="2" t="s">
        <v>1614</v>
      </c>
      <c r="D306" s="2" t="s">
        <v>1638</v>
      </c>
      <c r="E306" s="2" t="s">
        <v>21</v>
      </c>
      <c r="F306" s="2" t="s">
        <v>22</v>
      </c>
      <c r="G306" s="2" t="s">
        <v>156</v>
      </c>
      <c r="H306" s="2" t="s">
        <v>1639</v>
      </c>
      <c r="I306" s="2">
        <v>8758486006</v>
      </c>
      <c r="J306" s="2" t="s">
        <v>1640</v>
      </c>
      <c r="K306" s="2" t="s">
        <v>1641</v>
      </c>
      <c r="L306" s="2">
        <v>8680440242</v>
      </c>
      <c r="M306" s="2" t="s">
        <v>1642</v>
      </c>
      <c r="N306" s="2" t="s">
        <v>50</v>
      </c>
      <c r="O306" s="2">
        <v>3884</v>
      </c>
      <c r="P306" s="2" t="s">
        <v>139</v>
      </c>
      <c r="Q306" s="3">
        <v>0.7</v>
      </c>
      <c r="R306" s="2" t="s">
        <v>1643</v>
      </c>
    </row>
    <row r="307" spans="1:18" ht="15" customHeight="1" x14ac:dyDescent="0.25">
      <c r="A307" s="2">
        <v>306</v>
      </c>
      <c r="B307" s="2" t="s">
        <v>1644</v>
      </c>
      <c r="C307" s="2" t="s">
        <v>1614</v>
      </c>
      <c r="D307" s="2" t="s">
        <v>1632</v>
      </c>
      <c r="E307" s="2" t="s">
        <v>21</v>
      </c>
      <c r="F307" s="2" t="s">
        <v>34</v>
      </c>
      <c r="G307" s="2" t="s">
        <v>45</v>
      </c>
      <c r="H307" s="2" t="s">
        <v>1645</v>
      </c>
      <c r="I307" s="2">
        <v>8456838867</v>
      </c>
      <c r="J307" s="2" t="s">
        <v>1646</v>
      </c>
      <c r="K307" s="2" t="s">
        <v>1534</v>
      </c>
      <c r="L307" s="2">
        <v>7865469134</v>
      </c>
      <c r="M307" s="2" t="s">
        <v>1647</v>
      </c>
      <c r="N307" s="2" t="s">
        <v>271</v>
      </c>
      <c r="O307" s="2">
        <v>2235</v>
      </c>
      <c r="P307" s="2" t="s">
        <v>77</v>
      </c>
      <c r="Q307" s="3">
        <v>0.56999999999999995</v>
      </c>
      <c r="R307" s="2" t="s">
        <v>1648</v>
      </c>
    </row>
    <row r="308" spans="1:18" ht="15" customHeight="1" x14ac:dyDescent="0.25">
      <c r="A308" s="2">
        <v>307</v>
      </c>
      <c r="B308" s="2" t="s">
        <v>1649</v>
      </c>
      <c r="C308" s="2" t="s">
        <v>1614</v>
      </c>
      <c r="D308" s="2" t="s">
        <v>1650</v>
      </c>
      <c r="E308" s="2" t="s">
        <v>21</v>
      </c>
      <c r="F308" s="2" t="s">
        <v>22</v>
      </c>
      <c r="G308" s="2" t="s">
        <v>45</v>
      </c>
      <c r="H308" s="2" t="s">
        <v>1651</v>
      </c>
      <c r="I308" s="2">
        <v>7254319982</v>
      </c>
      <c r="J308" s="2" t="s">
        <v>1652</v>
      </c>
      <c r="K308" s="2" t="s">
        <v>616</v>
      </c>
      <c r="L308" s="2">
        <v>8490250763</v>
      </c>
      <c r="M308" s="2" t="s">
        <v>1653</v>
      </c>
      <c r="N308" s="2" t="s">
        <v>161</v>
      </c>
      <c r="O308" s="2">
        <v>2022</v>
      </c>
      <c r="P308" s="2" t="s">
        <v>41</v>
      </c>
      <c r="Q308" s="3">
        <v>0.9</v>
      </c>
      <c r="R308" s="2" t="s">
        <v>1654</v>
      </c>
    </row>
    <row r="309" spans="1:18" ht="15" customHeight="1" x14ac:dyDescent="0.25">
      <c r="A309" s="2">
        <v>308</v>
      </c>
      <c r="B309" s="2" t="s">
        <v>1655</v>
      </c>
      <c r="C309" s="2" t="s">
        <v>1614</v>
      </c>
      <c r="D309" s="2" t="s">
        <v>1656</v>
      </c>
      <c r="E309" s="2" t="s">
        <v>21</v>
      </c>
      <c r="F309" s="2" t="s">
        <v>22</v>
      </c>
      <c r="G309" s="2" t="s">
        <v>102</v>
      </c>
      <c r="H309" s="2" t="s">
        <v>1657</v>
      </c>
      <c r="I309" s="2">
        <v>7645406800</v>
      </c>
      <c r="J309" s="2" t="s">
        <v>1658</v>
      </c>
      <c r="K309" s="2" t="s">
        <v>1659</v>
      </c>
      <c r="L309" s="2">
        <v>6535602000</v>
      </c>
      <c r="M309" s="2" t="s">
        <v>1660</v>
      </c>
      <c r="N309" s="2" t="s">
        <v>146</v>
      </c>
      <c r="O309" s="2">
        <v>7926</v>
      </c>
      <c r="P309" s="2" t="s">
        <v>77</v>
      </c>
      <c r="Q309" s="3">
        <v>0.56000000000000005</v>
      </c>
      <c r="R309" s="2" t="s">
        <v>1661</v>
      </c>
    </row>
    <row r="310" spans="1:18" ht="15" customHeight="1" x14ac:dyDescent="0.25">
      <c r="A310" s="2">
        <v>309</v>
      </c>
      <c r="B310" s="2" t="s">
        <v>1662</v>
      </c>
      <c r="C310" s="2" t="s">
        <v>1614</v>
      </c>
      <c r="D310" s="2" t="s">
        <v>1663</v>
      </c>
      <c r="E310" s="2" t="s">
        <v>33</v>
      </c>
      <c r="F310" s="2" t="s">
        <v>22</v>
      </c>
      <c r="G310" s="2" t="s">
        <v>156</v>
      </c>
      <c r="H310" s="2" t="s">
        <v>1664</v>
      </c>
      <c r="I310" s="2">
        <v>6465839040</v>
      </c>
      <c r="J310" s="2" t="s">
        <v>709</v>
      </c>
      <c r="K310" s="2" t="s">
        <v>1665</v>
      </c>
      <c r="L310" s="2">
        <v>7973935331</v>
      </c>
      <c r="M310" s="2" t="s">
        <v>1666</v>
      </c>
      <c r="N310" s="2" t="s">
        <v>202</v>
      </c>
      <c r="O310" s="2">
        <v>9228</v>
      </c>
      <c r="P310" s="2" t="s">
        <v>77</v>
      </c>
      <c r="Q310" s="3">
        <v>0.72</v>
      </c>
      <c r="R310" s="2" t="s">
        <v>1667</v>
      </c>
    </row>
    <row r="311" spans="1:18" ht="15" customHeight="1" x14ac:dyDescent="0.25">
      <c r="A311" s="2">
        <v>310</v>
      </c>
      <c r="B311" s="2" t="s">
        <v>1668</v>
      </c>
      <c r="C311" s="2" t="s">
        <v>1614</v>
      </c>
      <c r="D311" s="2" t="s">
        <v>1669</v>
      </c>
      <c r="E311" s="2" t="s">
        <v>33</v>
      </c>
      <c r="F311" s="2" t="s">
        <v>22</v>
      </c>
      <c r="G311" s="2" t="s">
        <v>45</v>
      </c>
      <c r="H311" s="2" t="s">
        <v>1670</v>
      </c>
      <c r="I311" s="2">
        <v>6982640532</v>
      </c>
      <c r="J311" s="2" t="s">
        <v>1671</v>
      </c>
      <c r="K311" s="2" t="s">
        <v>1672</v>
      </c>
      <c r="L311" s="2">
        <v>9289165396</v>
      </c>
      <c r="M311" s="2" t="s">
        <v>1673</v>
      </c>
      <c r="N311" s="2" t="s">
        <v>146</v>
      </c>
      <c r="O311" s="2">
        <v>9421</v>
      </c>
      <c r="P311" s="2" t="s">
        <v>29</v>
      </c>
      <c r="Q311" s="3">
        <v>0.65</v>
      </c>
      <c r="R311" s="2" t="s">
        <v>1674</v>
      </c>
    </row>
    <row r="312" spans="1:18" ht="15" customHeight="1" x14ac:dyDescent="0.25">
      <c r="A312" s="2">
        <v>311</v>
      </c>
      <c r="B312" s="2" t="s">
        <v>1675</v>
      </c>
      <c r="C312" s="2" t="s">
        <v>1614</v>
      </c>
      <c r="D312" s="2" t="s">
        <v>1676</v>
      </c>
      <c r="E312" s="2" t="s">
        <v>33</v>
      </c>
      <c r="F312" s="2" t="s">
        <v>34</v>
      </c>
      <c r="G312" s="2" t="s">
        <v>156</v>
      </c>
      <c r="H312" s="2" t="s">
        <v>1677</v>
      </c>
      <c r="I312" s="2">
        <v>7586377578</v>
      </c>
      <c r="J312" s="2" t="s">
        <v>1678</v>
      </c>
      <c r="K312" s="2" t="s">
        <v>1679</v>
      </c>
      <c r="L312" s="2">
        <v>8518740692</v>
      </c>
      <c r="M312" s="2" t="s">
        <v>1680</v>
      </c>
      <c r="N312" s="2" t="s">
        <v>107</v>
      </c>
      <c r="O312" s="2">
        <v>5864</v>
      </c>
      <c r="P312" s="2" t="s">
        <v>77</v>
      </c>
      <c r="Q312" s="3">
        <v>0.83</v>
      </c>
      <c r="R312" s="2" t="s">
        <v>1681</v>
      </c>
    </row>
    <row r="313" spans="1:18" ht="15" customHeight="1" x14ac:dyDescent="0.25">
      <c r="A313" s="2">
        <v>312</v>
      </c>
      <c r="B313" s="2" t="s">
        <v>1682</v>
      </c>
      <c r="C313" s="2" t="s">
        <v>1614</v>
      </c>
      <c r="D313" s="2" t="s">
        <v>1683</v>
      </c>
      <c r="E313" s="2" t="s">
        <v>55</v>
      </c>
      <c r="F313" s="2" t="s">
        <v>22</v>
      </c>
      <c r="G313" s="2" t="s">
        <v>23</v>
      </c>
      <c r="H313" s="2" t="s">
        <v>1684</v>
      </c>
      <c r="I313" s="2">
        <v>9236961886</v>
      </c>
      <c r="J313" s="2" t="s">
        <v>1685</v>
      </c>
      <c r="K313" s="2" t="s">
        <v>954</v>
      </c>
      <c r="L313" s="2">
        <v>8167012825</v>
      </c>
      <c r="M313" s="2" t="s">
        <v>955</v>
      </c>
      <c r="N313" s="2" t="s">
        <v>146</v>
      </c>
      <c r="O313" s="2">
        <v>5410</v>
      </c>
      <c r="P313" s="2" t="s">
        <v>139</v>
      </c>
      <c r="Q313" s="3">
        <v>0.89</v>
      </c>
      <c r="R313" s="2" t="s">
        <v>1686</v>
      </c>
    </row>
    <row r="314" spans="1:18" ht="15" customHeight="1" x14ac:dyDescent="0.25">
      <c r="A314" s="2">
        <v>313</v>
      </c>
      <c r="B314" s="2" t="s">
        <v>1687</v>
      </c>
      <c r="C314" s="2" t="s">
        <v>1614</v>
      </c>
      <c r="D314" s="2" t="s">
        <v>1615</v>
      </c>
      <c r="E314" s="2" t="s">
        <v>55</v>
      </c>
      <c r="F314" s="2" t="s">
        <v>22</v>
      </c>
      <c r="G314" s="2" t="s">
        <v>156</v>
      </c>
      <c r="H314" s="2" t="s">
        <v>1688</v>
      </c>
      <c r="I314" s="2">
        <v>9535974242</v>
      </c>
      <c r="J314" s="2" t="s">
        <v>1689</v>
      </c>
      <c r="K314" s="2" t="s">
        <v>820</v>
      </c>
      <c r="L314" s="2">
        <v>9567281753</v>
      </c>
      <c r="M314" s="2" t="s">
        <v>1690</v>
      </c>
      <c r="N314" s="2" t="s">
        <v>60</v>
      </c>
      <c r="O314" s="2">
        <v>2297</v>
      </c>
      <c r="P314" s="2" t="s">
        <v>41</v>
      </c>
      <c r="Q314" s="3">
        <v>0.67</v>
      </c>
      <c r="R314" s="2" t="s">
        <v>1691</v>
      </c>
    </row>
    <row r="315" spans="1:18" ht="15" customHeight="1" x14ac:dyDescent="0.25">
      <c r="A315" s="2">
        <v>314</v>
      </c>
      <c r="B315" s="2" t="s">
        <v>1692</v>
      </c>
      <c r="C315" s="2" t="s">
        <v>1614</v>
      </c>
      <c r="D315" s="2" t="s">
        <v>1650</v>
      </c>
      <c r="E315" s="2" t="s">
        <v>21</v>
      </c>
      <c r="F315" s="2" t="s">
        <v>22</v>
      </c>
      <c r="G315" s="2" t="s">
        <v>45</v>
      </c>
      <c r="H315" s="2" t="s">
        <v>1693</v>
      </c>
      <c r="I315" s="2">
        <v>6796202652</v>
      </c>
      <c r="J315" s="2" t="s">
        <v>758</v>
      </c>
      <c r="K315" s="2" t="s">
        <v>1694</v>
      </c>
      <c r="L315" s="2">
        <v>6254614401</v>
      </c>
      <c r="M315" s="2" t="s">
        <v>1695</v>
      </c>
      <c r="N315" s="2" t="s">
        <v>161</v>
      </c>
      <c r="O315" s="2">
        <v>3583</v>
      </c>
      <c r="P315" s="2" t="s">
        <v>139</v>
      </c>
      <c r="Q315" s="3">
        <v>0.72</v>
      </c>
      <c r="R315" s="2" t="s">
        <v>1696</v>
      </c>
    </row>
    <row r="316" spans="1:18" ht="15" customHeight="1" x14ac:dyDescent="0.25">
      <c r="A316" s="2">
        <v>315</v>
      </c>
      <c r="B316" s="2" t="s">
        <v>1697</v>
      </c>
      <c r="C316" s="2" t="s">
        <v>1614</v>
      </c>
      <c r="D316" s="2" t="s">
        <v>1620</v>
      </c>
      <c r="E316" s="2" t="s">
        <v>55</v>
      </c>
      <c r="F316" s="2" t="s">
        <v>22</v>
      </c>
      <c r="G316" s="2" t="s">
        <v>23</v>
      </c>
      <c r="H316" s="2" t="s">
        <v>1597</v>
      </c>
      <c r="I316" s="2">
        <v>9513084285</v>
      </c>
      <c r="J316" s="2" t="s">
        <v>1698</v>
      </c>
      <c r="K316" s="2" t="s">
        <v>1699</v>
      </c>
      <c r="L316" s="2">
        <v>8342387465</v>
      </c>
      <c r="M316" s="2" t="s">
        <v>1700</v>
      </c>
      <c r="N316" s="2" t="s">
        <v>99</v>
      </c>
      <c r="O316" s="2">
        <v>2748</v>
      </c>
      <c r="P316" s="2" t="s">
        <v>29</v>
      </c>
      <c r="Q316" s="3">
        <v>0.9</v>
      </c>
      <c r="R316" s="2" t="s">
        <v>1701</v>
      </c>
    </row>
    <row r="317" spans="1:18" ht="15" customHeight="1" x14ac:dyDescent="0.25">
      <c r="A317" s="2">
        <v>316</v>
      </c>
      <c r="B317" s="2" t="s">
        <v>1702</v>
      </c>
      <c r="C317" s="2" t="s">
        <v>1614</v>
      </c>
      <c r="D317" s="2" t="s">
        <v>1703</v>
      </c>
      <c r="E317" s="2" t="s">
        <v>33</v>
      </c>
      <c r="F317" s="2" t="s">
        <v>22</v>
      </c>
      <c r="G317" s="2" t="s">
        <v>35</v>
      </c>
      <c r="H317" s="2" t="s">
        <v>1704</v>
      </c>
      <c r="I317" s="2">
        <v>8221509314</v>
      </c>
      <c r="J317" s="2" t="s">
        <v>1705</v>
      </c>
      <c r="K317" s="2" t="s">
        <v>1706</v>
      </c>
      <c r="L317" s="2">
        <v>9841415799</v>
      </c>
      <c r="M317" s="2" t="s">
        <v>1707</v>
      </c>
      <c r="N317" s="2" t="s">
        <v>289</v>
      </c>
      <c r="O317" s="2">
        <v>4378</v>
      </c>
      <c r="P317" s="2" t="s">
        <v>29</v>
      </c>
      <c r="Q317" s="3">
        <v>0.77</v>
      </c>
      <c r="R317" s="2" t="s">
        <v>1708</v>
      </c>
    </row>
    <row r="318" spans="1:18" ht="15" customHeight="1" x14ac:dyDescent="0.25">
      <c r="A318" s="2">
        <v>317</v>
      </c>
      <c r="B318" s="2" t="s">
        <v>1709</v>
      </c>
      <c r="C318" s="2" t="s">
        <v>1614</v>
      </c>
      <c r="D318" s="2" t="s">
        <v>1710</v>
      </c>
      <c r="E318" s="2" t="s">
        <v>21</v>
      </c>
      <c r="F318" s="2" t="s">
        <v>22</v>
      </c>
      <c r="G318" s="2" t="s">
        <v>35</v>
      </c>
      <c r="H318" s="2" t="s">
        <v>1711</v>
      </c>
      <c r="I318" s="2">
        <v>8758245742</v>
      </c>
      <c r="J318" s="2" t="s">
        <v>380</v>
      </c>
      <c r="K318" s="2" t="s">
        <v>1712</v>
      </c>
      <c r="L318" s="2">
        <v>6468879895</v>
      </c>
      <c r="M318" s="2" t="s">
        <v>1713</v>
      </c>
      <c r="N318" s="2" t="s">
        <v>40</v>
      </c>
      <c r="O318" s="2">
        <v>8117</v>
      </c>
      <c r="P318" s="2" t="s">
        <v>139</v>
      </c>
      <c r="Q318" s="3">
        <v>0.57999999999999996</v>
      </c>
      <c r="R318" s="2" t="s">
        <v>1714</v>
      </c>
    </row>
    <row r="319" spans="1:18" ht="15" customHeight="1" x14ac:dyDescent="0.25">
      <c r="A319" s="2">
        <v>318</v>
      </c>
      <c r="B319" s="2" t="s">
        <v>1715</v>
      </c>
      <c r="C319" s="2" t="s">
        <v>1614</v>
      </c>
      <c r="D319" s="2" t="s">
        <v>1650</v>
      </c>
      <c r="E319" s="2" t="s">
        <v>21</v>
      </c>
      <c r="F319" s="2" t="s">
        <v>22</v>
      </c>
      <c r="G319" s="2" t="s">
        <v>35</v>
      </c>
      <c r="H319" s="2" t="s">
        <v>1115</v>
      </c>
      <c r="I319" s="2">
        <v>6775705787</v>
      </c>
      <c r="J319" s="2" t="s">
        <v>1716</v>
      </c>
      <c r="K319" s="2" t="s">
        <v>1717</v>
      </c>
      <c r="L319" s="2">
        <v>9720774271</v>
      </c>
      <c r="M319" s="2" t="s">
        <v>1718</v>
      </c>
      <c r="N319" s="2" t="s">
        <v>289</v>
      </c>
      <c r="O319" s="2">
        <v>9903</v>
      </c>
      <c r="P319" s="2" t="s">
        <v>29</v>
      </c>
      <c r="Q319" s="3">
        <v>0.69</v>
      </c>
      <c r="R319" s="2" t="s">
        <v>1719</v>
      </c>
    </row>
    <row r="320" spans="1:18" ht="15" customHeight="1" x14ac:dyDescent="0.25">
      <c r="A320" s="2">
        <v>319</v>
      </c>
      <c r="B320" s="2" t="s">
        <v>1720</v>
      </c>
      <c r="C320" s="2" t="s">
        <v>1614</v>
      </c>
      <c r="D320" s="2" t="s">
        <v>1703</v>
      </c>
      <c r="E320" s="2" t="s">
        <v>55</v>
      </c>
      <c r="F320" s="2" t="s">
        <v>34</v>
      </c>
      <c r="G320" s="2" t="s">
        <v>102</v>
      </c>
      <c r="H320" s="2" t="s">
        <v>1721</v>
      </c>
      <c r="I320" s="2">
        <v>6896103507</v>
      </c>
      <c r="J320" s="2" t="s">
        <v>1722</v>
      </c>
      <c r="K320" s="2" t="s">
        <v>1723</v>
      </c>
      <c r="L320" s="2">
        <v>6748348443</v>
      </c>
      <c r="M320" s="2" t="s">
        <v>1724</v>
      </c>
      <c r="N320" s="2" t="s">
        <v>215</v>
      </c>
      <c r="O320" s="2">
        <v>5199</v>
      </c>
      <c r="P320" s="2" t="s">
        <v>77</v>
      </c>
      <c r="Q320" s="3">
        <v>0.59</v>
      </c>
      <c r="R320" s="2" t="s">
        <v>1725</v>
      </c>
    </row>
    <row r="321" spans="1:18" ht="15" customHeight="1" x14ac:dyDescent="0.25">
      <c r="A321" s="2">
        <v>320</v>
      </c>
      <c r="B321" s="2" t="s">
        <v>1726</v>
      </c>
      <c r="C321" s="2" t="s">
        <v>1614</v>
      </c>
      <c r="D321" s="2" t="s">
        <v>1703</v>
      </c>
      <c r="E321" s="2" t="s">
        <v>55</v>
      </c>
      <c r="F321" s="2" t="s">
        <v>22</v>
      </c>
      <c r="G321" s="2" t="s">
        <v>45</v>
      </c>
      <c r="H321" s="2" t="s">
        <v>1727</v>
      </c>
      <c r="I321" s="2">
        <v>7999381416</v>
      </c>
      <c r="J321" s="2" t="s">
        <v>1728</v>
      </c>
      <c r="K321" s="2" t="s">
        <v>1405</v>
      </c>
      <c r="L321" s="2">
        <v>9908271285</v>
      </c>
      <c r="M321" s="2" t="s">
        <v>1590</v>
      </c>
      <c r="N321" s="2" t="s">
        <v>60</v>
      </c>
      <c r="O321" s="2">
        <v>3373</v>
      </c>
      <c r="P321" s="2" t="s">
        <v>70</v>
      </c>
      <c r="Q321" s="3">
        <v>0.89</v>
      </c>
      <c r="R321" s="2" t="s">
        <v>1729</v>
      </c>
    </row>
    <row r="322" spans="1:18" ht="15" customHeight="1" x14ac:dyDescent="0.25">
      <c r="A322" s="2">
        <v>321</v>
      </c>
      <c r="B322" s="2" t="s">
        <v>1730</v>
      </c>
      <c r="C322" s="2" t="s">
        <v>1614</v>
      </c>
      <c r="D322" s="2" t="s">
        <v>1731</v>
      </c>
      <c r="E322" s="2" t="s">
        <v>33</v>
      </c>
      <c r="F322" s="2" t="s">
        <v>34</v>
      </c>
      <c r="G322" s="2" t="s">
        <v>45</v>
      </c>
      <c r="H322" s="2" t="s">
        <v>1732</v>
      </c>
      <c r="I322" s="2">
        <v>9423590493</v>
      </c>
      <c r="J322" s="2" t="s">
        <v>1733</v>
      </c>
      <c r="K322" s="2" t="s">
        <v>58</v>
      </c>
      <c r="L322" s="2">
        <v>9901173040</v>
      </c>
      <c r="M322" s="2" t="s">
        <v>59</v>
      </c>
      <c r="N322" s="2" t="s">
        <v>138</v>
      </c>
      <c r="O322" s="2">
        <v>3954</v>
      </c>
      <c r="P322" s="2" t="s">
        <v>139</v>
      </c>
      <c r="Q322" s="3">
        <v>0.87</v>
      </c>
      <c r="R322" s="2" t="s">
        <v>1734</v>
      </c>
    </row>
    <row r="323" spans="1:18" ht="15" customHeight="1" x14ac:dyDescent="0.25">
      <c r="A323" s="2">
        <v>322</v>
      </c>
      <c r="B323" s="2" t="s">
        <v>1735</v>
      </c>
      <c r="C323" s="2" t="s">
        <v>1614</v>
      </c>
      <c r="D323" s="2" t="s">
        <v>1650</v>
      </c>
      <c r="E323" s="2" t="s">
        <v>21</v>
      </c>
      <c r="F323" s="2" t="s">
        <v>22</v>
      </c>
      <c r="G323" s="2" t="s">
        <v>45</v>
      </c>
      <c r="H323" s="2" t="s">
        <v>1736</v>
      </c>
      <c r="I323" s="2">
        <v>6204544138</v>
      </c>
      <c r="J323" s="2" t="s">
        <v>1737</v>
      </c>
      <c r="K323" s="2" t="s">
        <v>1738</v>
      </c>
      <c r="L323" s="2">
        <v>8563626557</v>
      </c>
      <c r="M323" s="2" t="s">
        <v>1739</v>
      </c>
      <c r="N323" s="2" t="s">
        <v>289</v>
      </c>
      <c r="O323" s="2">
        <v>4802</v>
      </c>
      <c r="P323" s="2" t="s">
        <v>61</v>
      </c>
      <c r="Q323" s="3">
        <v>0.78</v>
      </c>
      <c r="R323" s="2" t="s">
        <v>1740</v>
      </c>
    </row>
    <row r="324" spans="1:18" ht="15" customHeight="1" x14ac:dyDescent="0.25">
      <c r="A324" s="2">
        <v>323</v>
      </c>
      <c r="B324" s="2" t="s">
        <v>1741</v>
      </c>
      <c r="C324" s="2" t="s">
        <v>1614</v>
      </c>
      <c r="D324" s="2" t="s">
        <v>1683</v>
      </c>
      <c r="E324" s="2" t="s">
        <v>55</v>
      </c>
      <c r="F324" s="2" t="s">
        <v>22</v>
      </c>
      <c r="G324" s="2" t="s">
        <v>102</v>
      </c>
      <c r="H324" s="2" t="s">
        <v>1742</v>
      </c>
      <c r="I324" s="2">
        <v>7436370919</v>
      </c>
      <c r="J324" s="2" t="s">
        <v>1743</v>
      </c>
      <c r="K324" s="2" t="s">
        <v>1744</v>
      </c>
      <c r="L324" s="2">
        <v>6822415501</v>
      </c>
      <c r="M324" s="2" t="s">
        <v>1745</v>
      </c>
      <c r="N324" s="2" t="s">
        <v>40</v>
      </c>
      <c r="O324" s="2">
        <v>4875</v>
      </c>
      <c r="P324" s="2" t="s">
        <v>41</v>
      </c>
      <c r="Q324" s="3">
        <v>0.59</v>
      </c>
      <c r="R324" s="2" t="s">
        <v>1746</v>
      </c>
    </row>
    <row r="325" spans="1:18" ht="15" customHeight="1" x14ac:dyDescent="0.25">
      <c r="A325" s="2">
        <v>324</v>
      </c>
      <c r="B325" s="2" t="s">
        <v>1747</v>
      </c>
      <c r="C325" s="2" t="s">
        <v>1614</v>
      </c>
      <c r="D325" s="2" t="s">
        <v>1748</v>
      </c>
      <c r="E325" s="2" t="s">
        <v>21</v>
      </c>
      <c r="F325" s="2" t="s">
        <v>34</v>
      </c>
      <c r="G325" s="2" t="s">
        <v>156</v>
      </c>
      <c r="H325" s="2" t="s">
        <v>1749</v>
      </c>
      <c r="I325" s="2">
        <v>7743584714</v>
      </c>
      <c r="J325" s="2" t="s">
        <v>1750</v>
      </c>
      <c r="K325" s="2" t="s">
        <v>1751</v>
      </c>
      <c r="L325" s="2">
        <v>6860289849</v>
      </c>
      <c r="M325" s="2" t="s">
        <v>1752</v>
      </c>
      <c r="N325" s="2" t="s">
        <v>50</v>
      </c>
      <c r="O325" s="2">
        <v>11731</v>
      </c>
      <c r="P325" s="2" t="s">
        <v>77</v>
      </c>
      <c r="Q325" s="3">
        <v>0.7</v>
      </c>
      <c r="R325" s="2" t="s">
        <v>1753</v>
      </c>
    </row>
    <row r="326" spans="1:18" ht="15" customHeight="1" x14ac:dyDescent="0.25">
      <c r="A326" s="2">
        <v>325</v>
      </c>
      <c r="B326" s="2" t="s">
        <v>1754</v>
      </c>
      <c r="C326" s="2" t="s">
        <v>1614</v>
      </c>
      <c r="D326" s="2" t="s">
        <v>1663</v>
      </c>
      <c r="E326" s="2" t="s">
        <v>21</v>
      </c>
      <c r="F326" s="2" t="s">
        <v>22</v>
      </c>
      <c r="G326" s="2" t="s">
        <v>23</v>
      </c>
      <c r="H326" s="2" t="s">
        <v>1755</v>
      </c>
      <c r="I326" s="2">
        <v>9396764585</v>
      </c>
      <c r="J326" s="2" t="s">
        <v>1756</v>
      </c>
      <c r="K326" s="2" t="s">
        <v>1757</v>
      </c>
      <c r="L326" s="2">
        <v>9843267161</v>
      </c>
      <c r="M326" s="2" t="s">
        <v>1758</v>
      </c>
      <c r="N326" s="2" t="s">
        <v>107</v>
      </c>
      <c r="O326" s="2">
        <v>11254</v>
      </c>
      <c r="P326" s="2" t="s">
        <v>41</v>
      </c>
      <c r="Q326" s="3">
        <v>0.94</v>
      </c>
      <c r="R326" s="2" t="s">
        <v>1759</v>
      </c>
    </row>
    <row r="327" spans="1:18" ht="15" customHeight="1" x14ac:dyDescent="0.25">
      <c r="A327" s="2">
        <v>326</v>
      </c>
      <c r="B327" s="2" t="s">
        <v>1760</v>
      </c>
      <c r="C327" s="2" t="s">
        <v>1614</v>
      </c>
      <c r="D327" s="2" t="s">
        <v>1761</v>
      </c>
      <c r="E327" s="2" t="s">
        <v>33</v>
      </c>
      <c r="F327" s="2" t="s">
        <v>34</v>
      </c>
      <c r="G327" s="2" t="s">
        <v>156</v>
      </c>
      <c r="H327" s="2" t="s">
        <v>1762</v>
      </c>
      <c r="I327" s="2">
        <v>9291600816</v>
      </c>
      <c r="J327" s="2" t="s">
        <v>1763</v>
      </c>
      <c r="K327" s="2" t="s">
        <v>1764</v>
      </c>
      <c r="L327" s="2">
        <v>9216426335</v>
      </c>
      <c r="M327" s="2" t="s">
        <v>1131</v>
      </c>
      <c r="N327" s="2" t="s">
        <v>40</v>
      </c>
      <c r="O327" s="2">
        <v>1522</v>
      </c>
      <c r="P327" s="2" t="s">
        <v>77</v>
      </c>
      <c r="Q327" s="3">
        <v>0.72</v>
      </c>
      <c r="R327" s="2" t="s">
        <v>1765</v>
      </c>
    </row>
    <row r="328" spans="1:18" ht="15" customHeight="1" x14ac:dyDescent="0.25">
      <c r="A328" s="2">
        <v>327</v>
      </c>
      <c r="B328" s="2" t="s">
        <v>1766</v>
      </c>
      <c r="C328" s="2" t="s">
        <v>1614</v>
      </c>
      <c r="D328" s="2" t="s">
        <v>1638</v>
      </c>
      <c r="E328" s="2" t="s">
        <v>55</v>
      </c>
      <c r="F328" s="2" t="s">
        <v>22</v>
      </c>
      <c r="G328" s="2" t="s">
        <v>23</v>
      </c>
      <c r="H328" s="2" t="s">
        <v>1767</v>
      </c>
      <c r="I328" s="2">
        <v>9259831058</v>
      </c>
      <c r="J328" s="2" t="s">
        <v>1768</v>
      </c>
      <c r="K328" s="2" t="s">
        <v>1769</v>
      </c>
      <c r="L328" s="2">
        <v>6140625696</v>
      </c>
      <c r="M328" s="2" t="s">
        <v>1175</v>
      </c>
      <c r="N328" s="2" t="s">
        <v>50</v>
      </c>
      <c r="O328" s="2">
        <v>7734</v>
      </c>
      <c r="P328" s="2" t="s">
        <v>29</v>
      </c>
      <c r="Q328" s="3">
        <v>0.66</v>
      </c>
      <c r="R328" s="2" t="s">
        <v>1636</v>
      </c>
    </row>
    <row r="329" spans="1:18" ht="15" customHeight="1" x14ac:dyDescent="0.25">
      <c r="A329" s="2">
        <v>328</v>
      </c>
      <c r="B329" s="2" t="s">
        <v>1770</v>
      </c>
      <c r="C329" s="2" t="s">
        <v>1614</v>
      </c>
      <c r="D329" s="2" t="s">
        <v>1656</v>
      </c>
      <c r="E329" s="2" t="s">
        <v>33</v>
      </c>
      <c r="F329" s="2" t="s">
        <v>34</v>
      </c>
      <c r="G329" s="2" t="s">
        <v>102</v>
      </c>
      <c r="H329" s="2" t="s">
        <v>1771</v>
      </c>
      <c r="I329" s="2">
        <v>6512771985</v>
      </c>
      <c r="J329" s="2" t="s">
        <v>1772</v>
      </c>
      <c r="K329" s="2" t="s">
        <v>1712</v>
      </c>
      <c r="L329" s="2">
        <v>9230141431</v>
      </c>
      <c r="M329" s="2" t="s">
        <v>1773</v>
      </c>
      <c r="N329" s="2" t="s">
        <v>107</v>
      </c>
      <c r="O329" s="2">
        <v>9914</v>
      </c>
      <c r="P329" s="2" t="s">
        <v>51</v>
      </c>
      <c r="Q329" s="3">
        <v>0.77</v>
      </c>
      <c r="R329" s="2" t="s">
        <v>1774</v>
      </c>
    </row>
    <row r="330" spans="1:18" ht="15" customHeight="1" x14ac:dyDescent="0.25">
      <c r="A330" s="2">
        <v>329</v>
      </c>
      <c r="B330" s="2" t="s">
        <v>1775</v>
      </c>
      <c r="C330" s="2" t="s">
        <v>1614</v>
      </c>
      <c r="D330" s="2" t="s">
        <v>1669</v>
      </c>
      <c r="E330" s="2" t="s">
        <v>55</v>
      </c>
      <c r="F330" s="2" t="s">
        <v>22</v>
      </c>
      <c r="G330" s="2" t="s">
        <v>102</v>
      </c>
      <c r="H330" s="2" t="s">
        <v>1776</v>
      </c>
      <c r="I330" s="2">
        <v>7289642463</v>
      </c>
      <c r="J330" s="2" t="s">
        <v>1777</v>
      </c>
      <c r="K330" s="2" t="s">
        <v>1778</v>
      </c>
      <c r="L330" s="2">
        <v>6512492602</v>
      </c>
      <c r="M330" s="2" t="s">
        <v>1779</v>
      </c>
      <c r="N330" s="2" t="s">
        <v>146</v>
      </c>
      <c r="O330" s="2">
        <v>11671</v>
      </c>
      <c r="P330" s="2" t="s">
        <v>70</v>
      </c>
      <c r="Q330" s="3">
        <v>0.72</v>
      </c>
      <c r="R330" s="2" t="s">
        <v>1780</v>
      </c>
    </row>
    <row r="331" spans="1:18" ht="15" customHeight="1" x14ac:dyDescent="0.25">
      <c r="A331" s="2">
        <v>330</v>
      </c>
      <c r="B331" s="2" t="s">
        <v>1781</v>
      </c>
      <c r="C331" s="2" t="s">
        <v>1614</v>
      </c>
      <c r="D331" s="2" t="s">
        <v>1782</v>
      </c>
      <c r="E331" s="2" t="s">
        <v>33</v>
      </c>
      <c r="F331" s="2" t="s">
        <v>22</v>
      </c>
      <c r="G331" s="2" t="s">
        <v>156</v>
      </c>
      <c r="H331" s="2" t="s">
        <v>1783</v>
      </c>
      <c r="I331" s="2">
        <v>9517435960</v>
      </c>
      <c r="J331" s="2" t="s">
        <v>587</v>
      </c>
      <c r="K331" s="2" t="s">
        <v>1784</v>
      </c>
      <c r="L331" s="2">
        <v>6951197200</v>
      </c>
      <c r="M331" s="2" t="s">
        <v>1785</v>
      </c>
      <c r="N331" s="2" t="s">
        <v>60</v>
      </c>
      <c r="O331" s="2">
        <v>8470</v>
      </c>
      <c r="P331" s="2" t="s">
        <v>51</v>
      </c>
      <c r="Q331" s="3">
        <v>0.93</v>
      </c>
      <c r="R331" s="2" t="s">
        <v>1786</v>
      </c>
    </row>
    <row r="332" spans="1:18" ht="15" customHeight="1" x14ac:dyDescent="0.25">
      <c r="A332" s="2">
        <v>331</v>
      </c>
      <c r="B332" s="2" t="s">
        <v>1787</v>
      </c>
      <c r="C332" s="2" t="s">
        <v>1614</v>
      </c>
      <c r="D332" s="2" t="s">
        <v>1650</v>
      </c>
      <c r="E332" s="2" t="s">
        <v>55</v>
      </c>
      <c r="F332" s="2" t="s">
        <v>22</v>
      </c>
      <c r="G332" s="2" t="s">
        <v>35</v>
      </c>
      <c r="H332" s="2" t="s">
        <v>1788</v>
      </c>
      <c r="I332" s="2">
        <v>7895697985</v>
      </c>
      <c r="J332" s="2" t="s">
        <v>1789</v>
      </c>
      <c r="K332" s="2" t="s">
        <v>1790</v>
      </c>
      <c r="L332" s="2">
        <v>7177345357</v>
      </c>
      <c r="M332" s="2" t="s">
        <v>1791</v>
      </c>
      <c r="N332" s="2" t="s">
        <v>84</v>
      </c>
      <c r="O332" s="2">
        <v>768</v>
      </c>
      <c r="P332" s="2" t="s">
        <v>51</v>
      </c>
      <c r="Q332" s="3">
        <v>0.7</v>
      </c>
      <c r="R332" s="2" t="s">
        <v>1792</v>
      </c>
    </row>
    <row r="333" spans="1:18" ht="15" customHeight="1" x14ac:dyDescent="0.25">
      <c r="A333" s="2">
        <v>332</v>
      </c>
      <c r="B333" s="2" t="s">
        <v>1793</v>
      </c>
      <c r="C333" s="2" t="s">
        <v>1614</v>
      </c>
      <c r="D333" s="2" t="s">
        <v>1794</v>
      </c>
      <c r="E333" s="2" t="s">
        <v>55</v>
      </c>
      <c r="F333" s="2" t="s">
        <v>34</v>
      </c>
      <c r="G333" s="2" t="s">
        <v>156</v>
      </c>
      <c r="H333" s="2" t="s">
        <v>1795</v>
      </c>
      <c r="I333" s="2">
        <v>7996952545</v>
      </c>
      <c r="J333" s="2" t="s">
        <v>1796</v>
      </c>
      <c r="K333" s="2" t="s">
        <v>1797</v>
      </c>
      <c r="L333" s="2">
        <v>6978106253</v>
      </c>
      <c r="M333" s="2" t="s">
        <v>1798</v>
      </c>
      <c r="N333" s="2" t="s">
        <v>289</v>
      </c>
      <c r="O333" s="2">
        <v>10631</v>
      </c>
      <c r="P333" s="2" t="s">
        <v>51</v>
      </c>
      <c r="Q333" s="3">
        <v>0.65</v>
      </c>
      <c r="R333" s="2" t="s">
        <v>1799</v>
      </c>
    </row>
    <row r="334" spans="1:18" ht="15" customHeight="1" x14ac:dyDescent="0.25">
      <c r="A334" s="2">
        <v>333</v>
      </c>
      <c r="B334" s="2" t="s">
        <v>1800</v>
      </c>
      <c r="C334" s="2" t="s">
        <v>1614</v>
      </c>
      <c r="D334" s="2" t="s">
        <v>1663</v>
      </c>
      <c r="E334" s="2" t="s">
        <v>21</v>
      </c>
      <c r="F334" s="2" t="s">
        <v>22</v>
      </c>
      <c r="G334" s="2" t="s">
        <v>35</v>
      </c>
      <c r="H334" s="2" t="s">
        <v>1801</v>
      </c>
      <c r="I334" s="2">
        <v>7920583443</v>
      </c>
      <c r="J334" s="2" t="s">
        <v>821</v>
      </c>
      <c r="K334" s="2" t="s">
        <v>299</v>
      </c>
      <c r="L334" s="2">
        <v>6736820440</v>
      </c>
      <c r="M334" s="2" t="s">
        <v>300</v>
      </c>
      <c r="N334" s="2" t="s">
        <v>28</v>
      </c>
      <c r="O334" s="2">
        <v>1533</v>
      </c>
      <c r="P334" s="2" t="s">
        <v>41</v>
      </c>
      <c r="Q334" s="3">
        <v>0.64</v>
      </c>
      <c r="R334" s="2" t="s">
        <v>1802</v>
      </c>
    </row>
    <row r="335" spans="1:18" ht="15" customHeight="1" x14ac:dyDescent="0.25">
      <c r="A335" s="2">
        <v>334</v>
      </c>
      <c r="B335" s="2" t="s">
        <v>1803</v>
      </c>
      <c r="C335" s="2" t="s">
        <v>1614</v>
      </c>
      <c r="D335" s="2" t="s">
        <v>1703</v>
      </c>
      <c r="E335" s="2" t="s">
        <v>33</v>
      </c>
      <c r="F335" s="2" t="s">
        <v>34</v>
      </c>
      <c r="G335" s="2" t="s">
        <v>102</v>
      </c>
      <c r="H335" s="2" t="s">
        <v>1804</v>
      </c>
      <c r="I335" s="2">
        <v>9935007826</v>
      </c>
      <c r="J335" s="2" t="s">
        <v>1805</v>
      </c>
      <c r="K335" s="2" t="s">
        <v>1806</v>
      </c>
      <c r="L335" s="2">
        <v>7116782928</v>
      </c>
      <c r="M335" s="2" t="s">
        <v>1807</v>
      </c>
      <c r="N335" s="2" t="s">
        <v>161</v>
      </c>
      <c r="O335" s="2">
        <v>7301</v>
      </c>
      <c r="P335" s="2" t="s">
        <v>61</v>
      </c>
      <c r="Q335" s="3">
        <v>0.85</v>
      </c>
      <c r="R335" s="2" t="s">
        <v>1808</v>
      </c>
    </row>
    <row r="336" spans="1:18" ht="15" customHeight="1" x14ac:dyDescent="0.25">
      <c r="A336" s="2">
        <v>335</v>
      </c>
      <c r="B336" s="2" t="s">
        <v>1809</v>
      </c>
      <c r="C336" s="2" t="s">
        <v>1614</v>
      </c>
      <c r="D336" s="2" t="s">
        <v>1620</v>
      </c>
      <c r="E336" s="2" t="s">
        <v>21</v>
      </c>
      <c r="F336" s="2" t="s">
        <v>34</v>
      </c>
      <c r="G336" s="2" t="s">
        <v>23</v>
      </c>
      <c r="H336" s="2" t="s">
        <v>1810</v>
      </c>
      <c r="I336" s="2">
        <v>9356896763</v>
      </c>
      <c r="J336" s="2" t="s">
        <v>1811</v>
      </c>
      <c r="K336" s="2" t="s">
        <v>922</v>
      </c>
      <c r="L336" s="2">
        <v>7755560172</v>
      </c>
      <c r="M336" s="2" t="s">
        <v>1085</v>
      </c>
      <c r="N336" s="2" t="s">
        <v>99</v>
      </c>
      <c r="O336" s="2">
        <v>11178</v>
      </c>
      <c r="P336" s="2" t="s">
        <v>139</v>
      </c>
      <c r="Q336" s="3">
        <v>0.93</v>
      </c>
      <c r="R336" s="2" t="s">
        <v>1812</v>
      </c>
    </row>
    <row r="337" spans="1:18" ht="15" customHeight="1" x14ac:dyDescent="0.25">
      <c r="A337" s="2">
        <v>336</v>
      </c>
      <c r="B337" s="2" t="s">
        <v>1813</v>
      </c>
      <c r="C337" s="2" t="s">
        <v>1614</v>
      </c>
      <c r="D337" s="2" t="s">
        <v>1794</v>
      </c>
      <c r="E337" s="2" t="s">
        <v>55</v>
      </c>
      <c r="F337" s="2" t="s">
        <v>34</v>
      </c>
      <c r="G337" s="2" t="s">
        <v>45</v>
      </c>
      <c r="H337" s="2" t="s">
        <v>1814</v>
      </c>
      <c r="I337" s="2">
        <v>6764561301</v>
      </c>
      <c r="J337" s="2" t="s">
        <v>1815</v>
      </c>
      <c r="K337" s="2" t="s">
        <v>1223</v>
      </c>
      <c r="L337" s="2">
        <v>8917255218</v>
      </c>
      <c r="M337" s="2" t="s">
        <v>1816</v>
      </c>
      <c r="N337" s="2" t="s">
        <v>99</v>
      </c>
      <c r="O337" s="2">
        <v>10775</v>
      </c>
      <c r="P337" s="2" t="s">
        <v>41</v>
      </c>
      <c r="Q337" s="3">
        <v>0.89</v>
      </c>
      <c r="R337" s="2" t="s">
        <v>1817</v>
      </c>
    </row>
    <row r="338" spans="1:18" ht="15" customHeight="1" x14ac:dyDescent="0.25">
      <c r="A338" s="2">
        <v>337</v>
      </c>
      <c r="B338" s="2" t="s">
        <v>1818</v>
      </c>
      <c r="C338" s="2" t="s">
        <v>1614</v>
      </c>
      <c r="D338" s="2" t="s">
        <v>1650</v>
      </c>
      <c r="E338" s="2" t="s">
        <v>55</v>
      </c>
      <c r="F338" s="2" t="s">
        <v>34</v>
      </c>
      <c r="G338" s="2" t="s">
        <v>23</v>
      </c>
      <c r="H338" s="2" t="s">
        <v>1819</v>
      </c>
      <c r="I338" s="2">
        <v>8406085699</v>
      </c>
      <c r="J338" s="2" t="s">
        <v>1820</v>
      </c>
      <c r="K338" s="2" t="s">
        <v>1821</v>
      </c>
      <c r="L338" s="2">
        <v>7566725127</v>
      </c>
      <c r="M338" s="2" t="s">
        <v>1822</v>
      </c>
      <c r="N338" s="2" t="s">
        <v>40</v>
      </c>
      <c r="O338" s="2">
        <v>1369</v>
      </c>
      <c r="P338" s="2" t="s">
        <v>61</v>
      </c>
      <c r="Q338" s="3">
        <v>0.6</v>
      </c>
      <c r="R338" s="2" t="s">
        <v>1823</v>
      </c>
    </row>
    <row r="339" spans="1:18" ht="15" customHeight="1" x14ac:dyDescent="0.25">
      <c r="A339" s="2">
        <v>338</v>
      </c>
      <c r="B339" s="2" t="s">
        <v>1824</v>
      </c>
      <c r="C339" s="2" t="s">
        <v>1614</v>
      </c>
      <c r="D339" s="2" t="s">
        <v>1825</v>
      </c>
      <c r="E339" s="2" t="s">
        <v>33</v>
      </c>
      <c r="F339" s="2" t="s">
        <v>22</v>
      </c>
      <c r="G339" s="2" t="s">
        <v>45</v>
      </c>
      <c r="H339" s="2" t="s">
        <v>1826</v>
      </c>
      <c r="I339" s="2">
        <v>9736413935</v>
      </c>
      <c r="J339" s="2" t="s">
        <v>1827</v>
      </c>
      <c r="K339" s="2" t="s">
        <v>1828</v>
      </c>
      <c r="L339" s="2">
        <v>8549968984</v>
      </c>
      <c r="M339" s="2" t="s">
        <v>1576</v>
      </c>
      <c r="N339" s="2" t="s">
        <v>271</v>
      </c>
      <c r="O339" s="2">
        <v>2210</v>
      </c>
      <c r="P339" s="2" t="s">
        <v>29</v>
      </c>
      <c r="Q339" s="3">
        <v>0.56999999999999995</v>
      </c>
      <c r="R339" s="2" t="s">
        <v>1829</v>
      </c>
    </row>
    <row r="340" spans="1:18" ht="15" customHeight="1" x14ac:dyDescent="0.25">
      <c r="A340" s="2">
        <v>339</v>
      </c>
      <c r="B340" s="2" t="s">
        <v>1830</v>
      </c>
      <c r="C340" s="2" t="s">
        <v>1614</v>
      </c>
      <c r="D340" s="2" t="s">
        <v>1831</v>
      </c>
      <c r="E340" s="2" t="s">
        <v>21</v>
      </c>
      <c r="F340" s="2" t="s">
        <v>22</v>
      </c>
      <c r="G340" s="2" t="s">
        <v>156</v>
      </c>
      <c r="H340" s="2" t="s">
        <v>1832</v>
      </c>
      <c r="I340" s="2">
        <v>7754374295</v>
      </c>
      <c r="J340" s="2" t="s">
        <v>1833</v>
      </c>
      <c r="K340" s="2" t="s">
        <v>1834</v>
      </c>
      <c r="L340" s="2">
        <v>9291191291</v>
      </c>
      <c r="M340" s="2" t="s">
        <v>1835</v>
      </c>
      <c r="N340" s="2" t="s">
        <v>28</v>
      </c>
      <c r="O340" s="2">
        <v>7259</v>
      </c>
      <c r="P340" s="2" t="s">
        <v>41</v>
      </c>
      <c r="Q340" s="3">
        <v>0.64</v>
      </c>
      <c r="R340" s="2" t="s">
        <v>1691</v>
      </c>
    </row>
    <row r="341" spans="1:18" ht="15" customHeight="1" x14ac:dyDescent="0.25">
      <c r="A341" s="2">
        <v>340</v>
      </c>
      <c r="B341" s="2" t="s">
        <v>1836</v>
      </c>
      <c r="C341" s="2" t="s">
        <v>1614</v>
      </c>
      <c r="D341" s="2" t="s">
        <v>1638</v>
      </c>
      <c r="E341" s="2" t="s">
        <v>33</v>
      </c>
      <c r="F341" s="2" t="s">
        <v>22</v>
      </c>
      <c r="G341" s="2" t="s">
        <v>102</v>
      </c>
      <c r="H341" s="2" t="s">
        <v>1837</v>
      </c>
      <c r="I341" s="2">
        <v>8336065965</v>
      </c>
      <c r="J341" s="2" t="s">
        <v>1838</v>
      </c>
      <c r="K341" s="2" t="s">
        <v>1839</v>
      </c>
      <c r="L341" s="2">
        <v>8748149205</v>
      </c>
      <c r="M341" s="2" t="s">
        <v>1504</v>
      </c>
      <c r="N341" s="2" t="s">
        <v>40</v>
      </c>
      <c r="O341" s="2">
        <v>3813</v>
      </c>
      <c r="P341" s="2" t="s">
        <v>70</v>
      </c>
      <c r="Q341" s="3">
        <v>0.6</v>
      </c>
      <c r="R341" s="2" t="s">
        <v>1759</v>
      </c>
    </row>
    <row r="342" spans="1:18" ht="15" customHeight="1" x14ac:dyDescent="0.25">
      <c r="A342" s="2">
        <v>341</v>
      </c>
      <c r="B342" s="2" t="s">
        <v>1840</v>
      </c>
      <c r="C342" s="2" t="s">
        <v>1614</v>
      </c>
      <c r="D342" s="2" t="s">
        <v>1703</v>
      </c>
      <c r="E342" s="2" t="s">
        <v>55</v>
      </c>
      <c r="F342" s="2" t="s">
        <v>22</v>
      </c>
      <c r="G342" s="2" t="s">
        <v>23</v>
      </c>
      <c r="H342" s="2" t="s">
        <v>438</v>
      </c>
      <c r="I342" s="2">
        <v>8566271010</v>
      </c>
      <c r="J342" s="2" t="s">
        <v>439</v>
      </c>
      <c r="K342" s="2" t="s">
        <v>1841</v>
      </c>
      <c r="L342" s="2">
        <v>7735409949</v>
      </c>
      <c r="M342" s="2" t="s">
        <v>1842</v>
      </c>
      <c r="N342" s="2" t="s">
        <v>99</v>
      </c>
      <c r="O342" s="2">
        <v>7245</v>
      </c>
      <c r="P342" s="2" t="s">
        <v>41</v>
      </c>
      <c r="Q342" s="3">
        <v>0.77</v>
      </c>
      <c r="R342" s="2" t="s">
        <v>1681</v>
      </c>
    </row>
    <row r="343" spans="1:18" ht="15" customHeight="1" x14ac:dyDescent="0.25">
      <c r="A343" s="2">
        <v>342</v>
      </c>
      <c r="B343" s="2" t="s">
        <v>1843</v>
      </c>
      <c r="C343" s="2" t="s">
        <v>1614</v>
      </c>
      <c r="D343" s="2" t="s">
        <v>1748</v>
      </c>
      <c r="E343" s="2" t="s">
        <v>33</v>
      </c>
      <c r="F343" s="2" t="s">
        <v>22</v>
      </c>
      <c r="G343" s="2" t="s">
        <v>156</v>
      </c>
      <c r="H343" s="2" t="s">
        <v>1844</v>
      </c>
      <c r="I343" s="2">
        <v>6844274708</v>
      </c>
      <c r="J343" s="2" t="s">
        <v>1845</v>
      </c>
      <c r="K343" s="2" t="s">
        <v>1846</v>
      </c>
      <c r="L343" s="2">
        <v>9334082685</v>
      </c>
      <c r="M343" s="2" t="s">
        <v>1847</v>
      </c>
      <c r="N343" s="2" t="s">
        <v>289</v>
      </c>
      <c r="O343" s="2">
        <v>8761</v>
      </c>
      <c r="P343" s="2" t="s">
        <v>51</v>
      </c>
      <c r="Q343" s="3">
        <v>0.73</v>
      </c>
      <c r="R343" s="2" t="s">
        <v>1674</v>
      </c>
    </row>
    <row r="344" spans="1:18" ht="15" customHeight="1" x14ac:dyDescent="0.25">
      <c r="A344" s="2">
        <v>343</v>
      </c>
      <c r="B344" s="2" t="s">
        <v>1848</v>
      </c>
      <c r="C344" s="2" t="s">
        <v>1614</v>
      </c>
      <c r="D344" s="2" t="s">
        <v>1676</v>
      </c>
      <c r="E344" s="2" t="s">
        <v>21</v>
      </c>
      <c r="F344" s="2" t="s">
        <v>22</v>
      </c>
      <c r="G344" s="2" t="s">
        <v>156</v>
      </c>
      <c r="H344" s="2" t="s">
        <v>1849</v>
      </c>
      <c r="I344" s="2">
        <v>9855809082</v>
      </c>
      <c r="J344" s="2" t="s">
        <v>1850</v>
      </c>
      <c r="K344" s="2" t="s">
        <v>1851</v>
      </c>
      <c r="L344" s="2">
        <v>6773563645</v>
      </c>
      <c r="M344" s="2" t="s">
        <v>1852</v>
      </c>
      <c r="N344" s="2" t="s">
        <v>215</v>
      </c>
      <c r="O344" s="2">
        <v>8360</v>
      </c>
      <c r="P344" s="2" t="s">
        <v>29</v>
      </c>
      <c r="Q344" s="3">
        <v>0.68</v>
      </c>
      <c r="R344" s="2" t="s">
        <v>1667</v>
      </c>
    </row>
    <row r="345" spans="1:18" ht="15" customHeight="1" x14ac:dyDescent="0.25">
      <c r="A345" s="2">
        <v>344</v>
      </c>
      <c r="B345" s="2" t="s">
        <v>1853</v>
      </c>
      <c r="C345" s="2" t="s">
        <v>1614</v>
      </c>
      <c r="D345" s="2" t="s">
        <v>1761</v>
      </c>
      <c r="E345" s="2" t="s">
        <v>55</v>
      </c>
      <c r="F345" s="2" t="s">
        <v>34</v>
      </c>
      <c r="G345" s="2" t="s">
        <v>45</v>
      </c>
      <c r="H345" s="2" t="s">
        <v>1210</v>
      </c>
      <c r="I345" s="2">
        <v>8155364901</v>
      </c>
      <c r="J345" s="2" t="s">
        <v>825</v>
      </c>
      <c r="K345" s="2" t="s">
        <v>1854</v>
      </c>
      <c r="L345" s="2">
        <v>6511194794</v>
      </c>
      <c r="M345" s="2" t="s">
        <v>1855</v>
      </c>
      <c r="N345" s="2" t="s">
        <v>40</v>
      </c>
      <c r="O345" s="2">
        <v>11936</v>
      </c>
      <c r="P345" s="2" t="s">
        <v>139</v>
      </c>
      <c r="Q345" s="3">
        <v>0.78</v>
      </c>
      <c r="R345" s="2" t="s">
        <v>1643</v>
      </c>
    </row>
    <row r="346" spans="1:18" ht="15" customHeight="1" x14ac:dyDescent="0.25">
      <c r="A346" s="2">
        <v>345</v>
      </c>
      <c r="B346" s="2" t="s">
        <v>1856</v>
      </c>
      <c r="C346" s="2" t="s">
        <v>1614</v>
      </c>
      <c r="D346" s="2" t="s">
        <v>1683</v>
      </c>
      <c r="E346" s="2" t="s">
        <v>21</v>
      </c>
      <c r="F346" s="2" t="s">
        <v>22</v>
      </c>
      <c r="G346" s="2" t="s">
        <v>23</v>
      </c>
      <c r="H346" s="2" t="s">
        <v>1857</v>
      </c>
      <c r="I346" s="2">
        <v>7908713884</v>
      </c>
      <c r="J346" s="2" t="s">
        <v>1858</v>
      </c>
      <c r="K346" s="2" t="s">
        <v>1859</v>
      </c>
      <c r="L346" s="2">
        <v>7444095402</v>
      </c>
      <c r="M346" s="2" t="s">
        <v>1189</v>
      </c>
      <c r="N346" s="2" t="s">
        <v>99</v>
      </c>
      <c r="O346" s="2">
        <v>9687</v>
      </c>
      <c r="P346" s="2" t="s">
        <v>29</v>
      </c>
      <c r="Q346" s="3">
        <v>0.88</v>
      </c>
      <c r="R346" s="2" t="s">
        <v>1753</v>
      </c>
    </row>
    <row r="347" spans="1:18" ht="15" customHeight="1" x14ac:dyDescent="0.25">
      <c r="A347" s="2">
        <v>346</v>
      </c>
      <c r="B347" s="2" t="s">
        <v>1860</v>
      </c>
      <c r="C347" s="2" t="s">
        <v>1614</v>
      </c>
      <c r="D347" s="2" t="s">
        <v>1627</v>
      </c>
      <c r="E347" s="2" t="s">
        <v>55</v>
      </c>
      <c r="F347" s="2" t="s">
        <v>22</v>
      </c>
      <c r="G347" s="2" t="s">
        <v>156</v>
      </c>
      <c r="H347" s="2" t="s">
        <v>1861</v>
      </c>
      <c r="I347" s="2">
        <v>8958890239</v>
      </c>
      <c r="J347" s="2" t="s">
        <v>1862</v>
      </c>
      <c r="K347" s="2" t="s">
        <v>1436</v>
      </c>
      <c r="L347" s="2">
        <v>6302243117</v>
      </c>
      <c r="M347" s="2" t="s">
        <v>1437</v>
      </c>
      <c r="N347" s="2" t="s">
        <v>99</v>
      </c>
      <c r="O347" s="2">
        <v>6608</v>
      </c>
      <c r="P347" s="2" t="s">
        <v>70</v>
      </c>
      <c r="Q347" s="3">
        <v>0.74</v>
      </c>
      <c r="R347" s="2" t="s">
        <v>1746</v>
      </c>
    </row>
    <row r="348" spans="1:18" ht="15" customHeight="1" x14ac:dyDescent="0.25">
      <c r="A348" s="2">
        <v>347</v>
      </c>
      <c r="B348" s="2" t="s">
        <v>1863</v>
      </c>
      <c r="C348" s="2" t="s">
        <v>1614</v>
      </c>
      <c r="D348" s="2" t="s">
        <v>1710</v>
      </c>
      <c r="E348" s="2" t="s">
        <v>33</v>
      </c>
      <c r="F348" s="2" t="s">
        <v>22</v>
      </c>
      <c r="G348" s="2" t="s">
        <v>102</v>
      </c>
      <c r="H348" s="2" t="s">
        <v>1864</v>
      </c>
      <c r="I348" s="2">
        <v>7608851530</v>
      </c>
      <c r="J348" s="2" t="s">
        <v>1865</v>
      </c>
      <c r="K348" s="2" t="s">
        <v>1866</v>
      </c>
      <c r="L348" s="2">
        <v>8551111120</v>
      </c>
      <c r="M348" s="2" t="s">
        <v>1867</v>
      </c>
      <c r="N348" s="2" t="s">
        <v>99</v>
      </c>
      <c r="O348" s="2">
        <v>2291</v>
      </c>
      <c r="P348" s="2" t="s">
        <v>61</v>
      </c>
      <c r="Q348" s="3">
        <v>0.67</v>
      </c>
      <c r="R348" s="2" t="s">
        <v>1786</v>
      </c>
    </row>
    <row r="349" spans="1:18" ht="15" customHeight="1" x14ac:dyDescent="0.25">
      <c r="A349" s="2">
        <v>348</v>
      </c>
      <c r="B349" s="2" t="s">
        <v>1868</v>
      </c>
      <c r="C349" s="2" t="s">
        <v>1614</v>
      </c>
      <c r="D349" s="2" t="s">
        <v>1676</v>
      </c>
      <c r="E349" s="2" t="s">
        <v>21</v>
      </c>
      <c r="F349" s="2" t="s">
        <v>34</v>
      </c>
      <c r="G349" s="2" t="s">
        <v>23</v>
      </c>
      <c r="H349" s="2" t="s">
        <v>1869</v>
      </c>
      <c r="I349" s="2">
        <v>9426505925</v>
      </c>
      <c r="J349" s="2" t="s">
        <v>1870</v>
      </c>
      <c r="K349" s="2" t="s">
        <v>1429</v>
      </c>
      <c r="L349" s="2">
        <v>7947556242</v>
      </c>
      <c r="M349" s="2" t="s">
        <v>1871</v>
      </c>
      <c r="N349" s="2" t="s">
        <v>146</v>
      </c>
      <c r="O349" s="2">
        <v>7245</v>
      </c>
      <c r="P349" s="2" t="s">
        <v>139</v>
      </c>
      <c r="Q349" s="3">
        <v>0.7</v>
      </c>
      <c r="R349" s="2" t="s">
        <v>1780</v>
      </c>
    </row>
    <row r="350" spans="1:18" ht="15" customHeight="1" x14ac:dyDescent="0.25">
      <c r="A350" s="2">
        <v>349</v>
      </c>
      <c r="B350" s="2" t="s">
        <v>1872</v>
      </c>
      <c r="C350" s="2" t="s">
        <v>1614</v>
      </c>
      <c r="D350" s="2" t="s">
        <v>1825</v>
      </c>
      <c r="E350" s="2" t="s">
        <v>21</v>
      </c>
      <c r="F350" s="2" t="s">
        <v>22</v>
      </c>
      <c r="G350" s="2" t="s">
        <v>102</v>
      </c>
      <c r="H350" s="2" t="s">
        <v>56</v>
      </c>
      <c r="I350" s="2">
        <v>7225539035</v>
      </c>
      <c r="J350" s="2" t="s">
        <v>1873</v>
      </c>
      <c r="K350" s="2" t="s">
        <v>1874</v>
      </c>
      <c r="L350" s="2">
        <v>6439974407</v>
      </c>
      <c r="M350" s="2" t="s">
        <v>1875</v>
      </c>
      <c r="N350" s="2" t="s">
        <v>271</v>
      </c>
      <c r="O350" s="2">
        <v>2930</v>
      </c>
      <c r="P350" s="2" t="s">
        <v>70</v>
      </c>
      <c r="Q350" s="3">
        <v>0.67</v>
      </c>
      <c r="R350" s="2" t="s">
        <v>1729</v>
      </c>
    </row>
    <row r="351" spans="1:18" ht="15" customHeight="1" x14ac:dyDescent="0.25">
      <c r="A351" s="2">
        <v>350</v>
      </c>
      <c r="B351" s="2" t="s">
        <v>1876</v>
      </c>
      <c r="C351" s="2" t="s">
        <v>1614</v>
      </c>
      <c r="D351" s="2" t="s">
        <v>1632</v>
      </c>
      <c r="E351" s="2" t="s">
        <v>33</v>
      </c>
      <c r="F351" s="2" t="s">
        <v>22</v>
      </c>
      <c r="G351" s="2" t="s">
        <v>23</v>
      </c>
      <c r="H351" s="2" t="s">
        <v>1877</v>
      </c>
      <c r="I351" s="2">
        <v>6534395495</v>
      </c>
      <c r="J351" s="2" t="s">
        <v>1878</v>
      </c>
      <c r="K351" s="2" t="s">
        <v>1879</v>
      </c>
      <c r="L351" s="2">
        <v>9925190102</v>
      </c>
      <c r="M351" s="2" t="s">
        <v>798</v>
      </c>
      <c r="N351" s="2" t="s">
        <v>271</v>
      </c>
      <c r="O351" s="2">
        <v>11404</v>
      </c>
      <c r="P351" s="2" t="s">
        <v>70</v>
      </c>
      <c r="Q351" s="3">
        <v>0.97</v>
      </c>
      <c r="R351" s="2" t="s">
        <v>1823</v>
      </c>
    </row>
    <row r="352" spans="1:18" ht="15" customHeight="1" x14ac:dyDescent="0.25">
      <c r="A352" s="2">
        <v>351</v>
      </c>
      <c r="B352" s="2" t="s">
        <v>1880</v>
      </c>
      <c r="C352" s="2" t="s">
        <v>1614</v>
      </c>
      <c r="D352" s="2" t="s">
        <v>1761</v>
      </c>
      <c r="E352" s="2" t="s">
        <v>21</v>
      </c>
      <c r="F352" s="2" t="s">
        <v>34</v>
      </c>
      <c r="G352" s="2" t="s">
        <v>35</v>
      </c>
      <c r="H352" s="2" t="s">
        <v>1315</v>
      </c>
      <c r="I352" s="2">
        <v>9143036559</v>
      </c>
      <c r="J352" s="2" t="s">
        <v>1316</v>
      </c>
      <c r="K352" s="2" t="s">
        <v>643</v>
      </c>
      <c r="L352" s="2">
        <v>7828005909</v>
      </c>
      <c r="M352" s="2" t="s">
        <v>1881</v>
      </c>
      <c r="N352" s="2" t="s">
        <v>146</v>
      </c>
      <c r="O352" s="2">
        <v>11104</v>
      </c>
      <c r="P352" s="2" t="s">
        <v>29</v>
      </c>
      <c r="Q352" s="3">
        <v>0.68</v>
      </c>
      <c r="R352" s="2" t="s">
        <v>1674</v>
      </c>
    </row>
    <row r="353" spans="1:18" ht="15" customHeight="1" x14ac:dyDescent="0.25">
      <c r="A353" s="2">
        <v>352</v>
      </c>
      <c r="B353" s="2" t="s">
        <v>1882</v>
      </c>
      <c r="C353" s="2" t="s">
        <v>1614</v>
      </c>
      <c r="D353" s="2" t="s">
        <v>1676</v>
      </c>
      <c r="E353" s="2" t="s">
        <v>21</v>
      </c>
      <c r="F353" s="2" t="s">
        <v>22</v>
      </c>
      <c r="G353" s="2" t="s">
        <v>23</v>
      </c>
      <c r="H353" s="2" t="s">
        <v>1883</v>
      </c>
      <c r="I353" s="2">
        <v>9826991279</v>
      </c>
      <c r="J353" s="2" t="s">
        <v>751</v>
      </c>
      <c r="K353" s="2" t="s">
        <v>245</v>
      </c>
      <c r="L353" s="2">
        <v>6649527664</v>
      </c>
      <c r="M353" s="2" t="s">
        <v>246</v>
      </c>
      <c r="N353" s="2" t="s">
        <v>84</v>
      </c>
      <c r="O353" s="2">
        <v>6355</v>
      </c>
      <c r="P353" s="2" t="s">
        <v>51</v>
      </c>
      <c r="Q353" s="3">
        <v>0.69</v>
      </c>
      <c r="R353" s="2" t="s">
        <v>1817</v>
      </c>
    </row>
    <row r="354" spans="1:18" ht="15" customHeight="1" x14ac:dyDescent="0.25">
      <c r="A354" s="2">
        <v>353</v>
      </c>
      <c r="B354" s="2" t="s">
        <v>1884</v>
      </c>
      <c r="C354" s="2" t="s">
        <v>1614</v>
      </c>
      <c r="D354" s="2" t="s">
        <v>1620</v>
      </c>
      <c r="E354" s="2" t="s">
        <v>33</v>
      </c>
      <c r="F354" s="2" t="s">
        <v>22</v>
      </c>
      <c r="G354" s="2" t="s">
        <v>35</v>
      </c>
      <c r="H354" s="2" t="s">
        <v>1422</v>
      </c>
      <c r="I354" s="2">
        <v>8578433629</v>
      </c>
      <c r="J354" s="2" t="s">
        <v>1423</v>
      </c>
      <c r="K354" s="2" t="s">
        <v>1241</v>
      </c>
      <c r="L354" s="2">
        <v>6331600910</v>
      </c>
      <c r="M354" s="2" t="s">
        <v>1885</v>
      </c>
      <c r="N354" s="2" t="s">
        <v>271</v>
      </c>
      <c r="O354" s="2">
        <v>11424</v>
      </c>
      <c r="P354" s="2" t="s">
        <v>70</v>
      </c>
      <c r="Q354" s="3">
        <v>0.72</v>
      </c>
      <c r="R354" s="2" t="s">
        <v>1765</v>
      </c>
    </row>
    <row r="355" spans="1:18" ht="15" customHeight="1" x14ac:dyDescent="0.25">
      <c r="A355" s="2">
        <v>354</v>
      </c>
      <c r="B355" s="2" t="s">
        <v>1886</v>
      </c>
      <c r="C355" s="2" t="s">
        <v>1614</v>
      </c>
      <c r="D355" s="2" t="s">
        <v>1632</v>
      </c>
      <c r="E355" s="2" t="s">
        <v>33</v>
      </c>
      <c r="F355" s="2" t="s">
        <v>34</v>
      </c>
      <c r="G355" s="2" t="s">
        <v>45</v>
      </c>
      <c r="H355" s="2" t="s">
        <v>1887</v>
      </c>
      <c r="I355" s="2">
        <v>9194970622</v>
      </c>
      <c r="J355" s="2" t="s">
        <v>129</v>
      </c>
      <c r="K355" s="2" t="s">
        <v>1888</v>
      </c>
      <c r="L355" s="2">
        <v>6539655012</v>
      </c>
      <c r="M355" s="2" t="s">
        <v>1889</v>
      </c>
      <c r="N355" s="2" t="s">
        <v>462</v>
      </c>
      <c r="O355" s="2">
        <v>2786</v>
      </c>
      <c r="P355" s="2" t="s">
        <v>41</v>
      </c>
      <c r="Q355" s="3">
        <v>0.8</v>
      </c>
      <c r="R355" s="2" t="s">
        <v>1780</v>
      </c>
    </row>
    <row r="356" spans="1:18" ht="15" customHeight="1" x14ac:dyDescent="0.25">
      <c r="A356" s="2">
        <v>355</v>
      </c>
      <c r="B356" s="2" t="s">
        <v>1890</v>
      </c>
      <c r="C356" s="2" t="s">
        <v>1614</v>
      </c>
      <c r="D356" s="2" t="s">
        <v>1703</v>
      </c>
      <c r="E356" s="2" t="s">
        <v>55</v>
      </c>
      <c r="F356" s="2" t="s">
        <v>22</v>
      </c>
      <c r="G356" s="2" t="s">
        <v>35</v>
      </c>
      <c r="H356" s="2" t="s">
        <v>1891</v>
      </c>
      <c r="I356" s="2">
        <v>9341076755</v>
      </c>
      <c r="J356" s="2" t="s">
        <v>1892</v>
      </c>
      <c r="K356" s="2" t="s">
        <v>1266</v>
      </c>
      <c r="L356" s="2">
        <v>6949565526</v>
      </c>
      <c r="M356" s="2" t="s">
        <v>1267</v>
      </c>
      <c r="N356" s="2" t="s">
        <v>161</v>
      </c>
      <c r="O356" s="2">
        <v>3764</v>
      </c>
      <c r="P356" s="2" t="s">
        <v>61</v>
      </c>
      <c r="Q356" s="3">
        <v>0.91</v>
      </c>
      <c r="R356" s="2" t="s">
        <v>1719</v>
      </c>
    </row>
    <row r="357" spans="1:18" ht="15" customHeight="1" x14ac:dyDescent="0.25">
      <c r="A357" s="2">
        <v>356</v>
      </c>
      <c r="B357" s="2" t="s">
        <v>1893</v>
      </c>
      <c r="C357" s="2" t="s">
        <v>1614</v>
      </c>
      <c r="D357" s="2" t="s">
        <v>1825</v>
      </c>
      <c r="E357" s="2" t="s">
        <v>33</v>
      </c>
      <c r="F357" s="2" t="s">
        <v>22</v>
      </c>
      <c r="G357" s="2" t="s">
        <v>45</v>
      </c>
      <c r="H357" s="2" t="s">
        <v>1894</v>
      </c>
      <c r="I357" s="2">
        <v>8629408646</v>
      </c>
      <c r="J357" s="2" t="s">
        <v>332</v>
      </c>
      <c r="K357" s="2" t="s">
        <v>1895</v>
      </c>
      <c r="L357" s="2">
        <v>6743054662</v>
      </c>
      <c r="M357" s="2" t="s">
        <v>1896</v>
      </c>
      <c r="N357" s="2" t="s">
        <v>50</v>
      </c>
      <c r="O357" s="2">
        <v>11212</v>
      </c>
      <c r="P357" s="2" t="s">
        <v>29</v>
      </c>
      <c r="Q357" s="3">
        <v>0.93</v>
      </c>
      <c r="R357" s="2" t="s">
        <v>1618</v>
      </c>
    </row>
    <row r="358" spans="1:18" ht="15" customHeight="1" x14ac:dyDescent="0.25">
      <c r="A358" s="2">
        <v>357</v>
      </c>
      <c r="B358" s="2" t="s">
        <v>1897</v>
      </c>
      <c r="C358" s="2" t="s">
        <v>1614</v>
      </c>
      <c r="D358" s="2" t="s">
        <v>1620</v>
      </c>
      <c r="E358" s="2" t="s">
        <v>55</v>
      </c>
      <c r="F358" s="2" t="s">
        <v>22</v>
      </c>
      <c r="G358" s="2" t="s">
        <v>102</v>
      </c>
      <c r="H358" s="2" t="s">
        <v>1898</v>
      </c>
      <c r="I358" s="2">
        <v>7483739723</v>
      </c>
      <c r="J358" s="2" t="s">
        <v>1899</v>
      </c>
      <c r="K358" s="2" t="s">
        <v>1900</v>
      </c>
      <c r="L358" s="2">
        <v>7156788412</v>
      </c>
      <c r="M358" s="2" t="s">
        <v>1901</v>
      </c>
      <c r="N358" s="2" t="s">
        <v>289</v>
      </c>
      <c r="O358" s="2">
        <v>11874</v>
      </c>
      <c r="P358" s="2" t="s">
        <v>41</v>
      </c>
      <c r="Q358" s="3">
        <v>0.6</v>
      </c>
      <c r="R358" s="2" t="s">
        <v>1753</v>
      </c>
    </row>
    <row r="359" spans="1:18" ht="15" customHeight="1" x14ac:dyDescent="0.25">
      <c r="A359" s="2">
        <v>358</v>
      </c>
      <c r="B359" s="2" t="s">
        <v>1902</v>
      </c>
      <c r="C359" s="2" t="s">
        <v>1614</v>
      </c>
      <c r="D359" s="2" t="s">
        <v>1731</v>
      </c>
      <c r="E359" s="2" t="s">
        <v>55</v>
      </c>
      <c r="F359" s="2" t="s">
        <v>22</v>
      </c>
      <c r="G359" s="2" t="s">
        <v>102</v>
      </c>
      <c r="H359" s="2" t="s">
        <v>1903</v>
      </c>
      <c r="I359" s="2">
        <v>8439528365</v>
      </c>
      <c r="J359" s="2" t="s">
        <v>1904</v>
      </c>
      <c r="K359" s="2" t="s">
        <v>1905</v>
      </c>
      <c r="L359" s="2">
        <v>8391476850</v>
      </c>
      <c r="M359" s="2" t="s">
        <v>1906</v>
      </c>
      <c r="N359" s="2" t="s">
        <v>271</v>
      </c>
      <c r="O359" s="2">
        <v>5249</v>
      </c>
      <c r="P359" s="2" t="s">
        <v>70</v>
      </c>
      <c r="Q359" s="3">
        <v>0.78</v>
      </c>
      <c r="R359" s="2" t="s">
        <v>1719</v>
      </c>
    </row>
    <row r="360" spans="1:18" ht="15" customHeight="1" x14ac:dyDescent="0.25">
      <c r="A360" s="2">
        <v>359</v>
      </c>
      <c r="B360" s="2" t="s">
        <v>1907</v>
      </c>
      <c r="C360" s="2" t="s">
        <v>1614</v>
      </c>
      <c r="D360" s="2" t="s">
        <v>1650</v>
      </c>
      <c r="E360" s="2" t="s">
        <v>55</v>
      </c>
      <c r="F360" s="2" t="s">
        <v>22</v>
      </c>
      <c r="G360" s="2" t="s">
        <v>23</v>
      </c>
      <c r="H360" s="2" t="s">
        <v>1908</v>
      </c>
      <c r="I360" s="2">
        <v>7992895309</v>
      </c>
      <c r="J360" s="2" t="s">
        <v>1909</v>
      </c>
      <c r="K360" s="2" t="s">
        <v>1910</v>
      </c>
      <c r="L360" s="2">
        <v>7953739357</v>
      </c>
      <c r="M360" s="2" t="s">
        <v>1911</v>
      </c>
      <c r="N360" s="2" t="s">
        <v>215</v>
      </c>
      <c r="O360" s="2">
        <v>2743</v>
      </c>
      <c r="P360" s="2" t="s">
        <v>139</v>
      </c>
      <c r="Q360" s="3">
        <v>0.67</v>
      </c>
      <c r="R360" s="2" t="s">
        <v>1753</v>
      </c>
    </row>
    <row r="361" spans="1:18" ht="15" customHeight="1" x14ac:dyDescent="0.25">
      <c r="A361" s="2">
        <v>360</v>
      </c>
      <c r="B361" s="2" t="s">
        <v>1912</v>
      </c>
      <c r="C361" s="2" t="s">
        <v>1614</v>
      </c>
      <c r="D361" s="2" t="s">
        <v>1627</v>
      </c>
      <c r="E361" s="2" t="s">
        <v>55</v>
      </c>
      <c r="F361" s="2" t="s">
        <v>22</v>
      </c>
      <c r="G361" s="2" t="s">
        <v>156</v>
      </c>
      <c r="H361" s="2" t="s">
        <v>1119</v>
      </c>
      <c r="I361" s="2">
        <v>8284906027</v>
      </c>
      <c r="J361" s="2" t="s">
        <v>1120</v>
      </c>
      <c r="K361" s="2" t="s">
        <v>1913</v>
      </c>
      <c r="L361" s="2">
        <v>8130880314</v>
      </c>
      <c r="M361" s="2" t="s">
        <v>1914</v>
      </c>
      <c r="N361" s="2" t="s">
        <v>462</v>
      </c>
      <c r="O361" s="2">
        <v>8044</v>
      </c>
      <c r="P361" s="2" t="s">
        <v>51</v>
      </c>
      <c r="Q361" s="3">
        <v>0.6</v>
      </c>
      <c r="R361" s="2" t="s">
        <v>1817</v>
      </c>
    </row>
    <row r="362" spans="1:18" ht="15" customHeight="1" x14ac:dyDescent="0.25">
      <c r="A362" s="2">
        <v>361</v>
      </c>
      <c r="B362" s="2" t="s">
        <v>1915</v>
      </c>
      <c r="C362" s="2" t="s">
        <v>1614</v>
      </c>
      <c r="D362" s="2" t="s">
        <v>1638</v>
      </c>
      <c r="E362" s="2" t="s">
        <v>55</v>
      </c>
      <c r="F362" s="2" t="s">
        <v>34</v>
      </c>
      <c r="G362" s="2" t="s">
        <v>23</v>
      </c>
      <c r="H362" s="2" t="s">
        <v>1916</v>
      </c>
      <c r="I362" s="2">
        <v>7215768032</v>
      </c>
      <c r="J362" s="2" t="s">
        <v>1917</v>
      </c>
      <c r="K362" s="2" t="s">
        <v>1918</v>
      </c>
      <c r="L362" s="2">
        <v>6951536517</v>
      </c>
      <c r="M362" s="2" t="s">
        <v>1919</v>
      </c>
      <c r="N362" s="2" t="s">
        <v>202</v>
      </c>
      <c r="O362" s="2">
        <v>2553</v>
      </c>
      <c r="P362" s="2" t="s">
        <v>61</v>
      </c>
      <c r="Q362" s="3">
        <v>0.61</v>
      </c>
      <c r="R362" s="2" t="s">
        <v>1661</v>
      </c>
    </row>
    <row r="363" spans="1:18" ht="15" customHeight="1" x14ac:dyDescent="0.25">
      <c r="A363" s="2">
        <v>362</v>
      </c>
      <c r="B363" s="2" t="s">
        <v>1920</v>
      </c>
      <c r="C363" s="2" t="s">
        <v>1614</v>
      </c>
      <c r="D363" s="2" t="s">
        <v>1794</v>
      </c>
      <c r="E363" s="2" t="s">
        <v>33</v>
      </c>
      <c r="F363" s="2" t="s">
        <v>34</v>
      </c>
      <c r="G363" s="2" t="s">
        <v>102</v>
      </c>
      <c r="H363" s="2" t="s">
        <v>1921</v>
      </c>
      <c r="I363" s="2">
        <v>8131416738</v>
      </c>
      <c r="J363" s="2" t="s">
        <v>1922</v>
      </c>
      <c r="K363" s="2" t="s">
        <v>1923</v>
      </c>
      <c r="L363" s="2">
        <v>6256290615</v>
      </c>
      <c r="M363" s="2" t="s">
        <v>1924</v>
      </c>
      <c r="N363" s="2" t="s">
        <v>271</v>
      </c>
      <c r="O363" s="2">
        <v>1585</v>
      </c>
      <c r="P363" s="2" t="s">
        <v>70</v>
      </c>
      <c r="Q363" s="3">
        <v>0.84</v>
      </c>
      <c r="R363" s="2" t="s">
        <v>1802</v>
      </c>
    </row>
    <row r="364" spans="1:18" ht="15" customHeight="1" x14ac:dyDescent="0.25">
      <c r="A364" s="2">
        <v>363</v>
      </c>
      <c r="B364" s="2" t="s">
        <v>1925</v>
      </c>
      <c r="C364" s="2" t="s">
        <v>1614</v>
      </c>
      <c r="D364" s="2" t="s">
        <v>1615</v>
      </c>
      <c r="E364" s="2" t="s">
        <v>33</v>
      </c>
      <c r="F364" s="2" t="s">
        <v>34</v>
      </c>
      <c r="G364" s="2" t="s">
        <v>35</v>
      </c>
      <c r="H364" s="2" t="s">
        <v>1926</v>
      </c>
      <c r="I364" s="2">
        <v>6878837937</v>
      </c>
      <c r="J364" s="2" t="s">
        <v>1927</v>
      </c>
      <c r="K364" s="2" t="s">
        <v>1928</v>
      </c>
      <c r="L364" s="2">
        <v>6329797269</v>
      </c>
      <c r="M364" s="2" t="s">
        <v>1929</v>
      </c>
      <c r="N364" s="2" t="s">
        <v>28</v>
      </c>
      <c r="O364" s="2">
        <v>8772</v>
      </c>
      <c r="P364" s="2" t="s">
        <v>139</v>
      </c>
      <c r="Q364" s="3">
        <v>0.57999999999999996</v>
      </c>
      <c r="R364" s="2" t="s">
        <v>1719</v>
      </c>
    </row>
    <row r="365" spans="1:18" ht="15" customHeight="1" x14ac:dyDescent="0.25">
      <c r="A365" s="2">
        <v>364</v>
      </c>
      <c r="B365" s="2" t="s">
        <v>1930</v>
      </c>
      <c r="C365" s="2" t="s">
        <v>1614</v>
      </c>
      <c r="D365" s="2" t="s">
        <v>1615</v>
      </c>
      <c r="E365" s="2" t="s">
        <v>55</v>
      </c>
      <c r="F365" s="2" t="s">
        <v>22</v>
      </c>
      <c r="G365" s="2" t="s">
        <v>45</v>
      </c>
      <c r="H365" s="2" t="s">
        <v>1931</v>
      </c>
      <c r="I365" s="2">
        <v>6600258136</v>
      </c>
      <c r="J365" s="2" t="s">
        <v>1932</v>
      </c>
      <c r="K365" s="2" t="s">
        <v>1933</v>
      </c>
      <c r="L365" s="2">
        <v>6658053247</v>
      </c>
      <c r="M365" s="2" t="s">
        <v>1934</v>
      </c>
      <c r="N365" s="2" t="s">
        <v>50</v>
      </c>
      <c r="O365" s="2">
        <v>3463</v>
      </c>
      <c r="P365" s="2" t="s">
        <v>41</v>
      </c>
      <c r="Q365" s="3">
        <v>0.7</v>
      </c>
      <c r="R365" s="2" t="s">
        <v>1802</v>
      </c>
    </row>
    <row r="366" spans="1:18" ht="15" customHeight="1" x14ac:dyDescent="0.25">
      <c r="A366" s="2">
        <v>365</v>
      </c>
      <c r="B366" s="2" t="s">
        <v>1935</v>
      </c>
      <c r="C366" s="2" t="s">
        <v>1614</v>
      </c>
      <c r="D366" s="2" t="s">
        <v>1615</v>
      </c>
      <c r="E366" s="2" t="s">
        <v>55</v>
      </c>
      <c r="F366" s="2" t="s">
        <v>22</v>
      </c>
      <c r="G366" s="2" t="s">
        <v>156</v>
      </c>
      <c r="H366" s="2" t="s">
        <v>1936</v>
      </c>
      <c r="I366" s="2">
        <v>9412017904</v>
      </c>
      <c r="J366" s="2" t="s">
        <v>1937</v>
      </c>
      <c r="K366" s="2" t="s">
        <v>1938</v>
      </c>
      <c r="L366" s="2">
        <v>9302706330</v>
      </c>
      <c r="M366" s="2" t="s">
        <v>1805</v>
      </c>
      <c r="N366" s="2" t="s">
        <v>99</v>
      </c>
      <c r="O366" s="2">
        <v>5875</v>
      </c>
      <c r="P366" s="2" t="s">
        <v>77</v>
      </c>
      <c r="Q366" s="3">
        <v>0.6</v>
      </c>
      <c r="R366" s="2" t="s">
        <v>1667</v>
      </c>
    </row>
    <row r="367" spans="1:18" ht="15" customHeight="1" x14ac:dyDescent="0.25">
      <c r="A367" s="2">
        <v>366</v>
      </c>
      <c r="B367" s="2" t="s">
        <v>1939</v>
      </c>
      <c r="C367" s="2" t="s">
        <v>1614</v>
      </c>
      <c r="D367" s="2" t="s">
        <v>1615</v>
      </c>
      <c r="E367" s="2" t="s">
        <v>21</v>
      </c>
      <c r="F367" s="2" t="s">
        <v>34</v>
      </c>
      <c r="G367" s="2" t="s">
        <v>45</v>
      </c>
      <c r="H367" s="2" t="s">
        <v>1940</v>
      </c>
      <c r="I367" s="2">
        <v>8313767380</v>
      </c>
      <c r="J367" s="2" t="s">
        <v>351</v>
      </c>
      <c r="K367" s="2" t="s">
        <v>1941</v>
      </c>
      <c r="L367" s="2">
        <v>8315031290</v>
      </c>
      <c r="M367" s="2" t="s">
        <v>1942</v>
      </c>
      <c r="N367" s="2" t="s">
        <v>50</v>
      </c>
      <c r="O367" s="2">
        <v>6994</v>
      </c>
      <c r="P367" s="2" t="s">
        <v>77</v>
      </c>
      <c r="Q367" s="3">
        <v>0.77</v>
      </c>
      <c r="R367" s="2" t="s">
        <v>1643</v>
      </c>
    </row>
    <row r="368" spans="1:18" ht="15" customHeight="1" x14ac:dyDescent="0.25">
      <c r="A368" s="2">
        <v>367</v>
      </c>
      <c r="B368" s="2" t="s">
        <v>1943</v>
      </c>
      <c r="C368" s="2" t="s">
        <v>1614</v>
      </c>
      <c r="D368" s="2" t="s">
        <v>1831</v>
      </c>
      <c r="E368" s="2" t="s">
        <v>33</v>
      </c>
      <c r="F368" s="2" t="s">
        <v>22</v>
      </c>
      <c r="G368" s="2" t="s">
        <v>102</v>
      </c>
      <c r="H368" s="2" t="s">
        <v>1097</v>
      </c>
      <c r="I368" s="2">
        <v>8625426306</v>
      </c>
      <c r="J368" s="2" t="s">
        <v>1098</v>
      </c>
      <c r="K368" s="2" t="s">
        <v>1944</v>
      </c>
      <c r="L368" s="2">
        <v>9347843014</v>
      </c>
      <c r="M368" s="2" t="s">
        <v>1945</v>
      </c>
      <c r="N368" s="2" t="s">
        <v>40</v>
      </c>
      <c r="O368" s="2">
        <v>11048</v>
      </c>
      <c r="P368" s="2" t="s">
        <v>77</v>
      </c>
      <c r="Q368" s="3">
        <v>0.7</v>
      </c>
      <c r="R368" s="2" t="s">
        <v>1765</v>
      </c>
    </row>
    <row r="369" spans="1:18" ht="15" customHeight="1" x14ac:dyDescent="0.25">
      <c r="A369" s="2">
        <v>368</v>
      </c>
      <c r="B369" s="2" t="s">
        <v>1946</v>
      </c>
      <c r="C369" s="2" t="s">
        <v>1614</v>
      </c>
      <c r="D369" s="2" t="s">
        <v>1663</v>
      </c>
      <c r="E369" s="2" t="s">
        <v>55</v>
      </c>
      <c r="F369" s="2" t="s">
        <v>34</v>
      </c>
      <c r="G369" s="2" t="s">
        <v>156</v>
      </c>
      <c r="H369" s="2" t="s">
        <v>1947</v>
      </c>
      <c r="I369" s="2">
        <v>9951188873</v>
      </c>
      <c r="J369" s="2" t="s">
        <v>1948</v>
      </c>
      <c r="K369" s="2" t="s">
        <v>1949</v>
      </c>
      <c r="L369" s="2">
        <v>9316822569</v>
      </c>
      <c r="M369" s="2" t="s">
        <v>1950</v>
      </c>
      <c r="N369" s="2" t="s">
        <v>289</v>
      </c>
      <c r="O369" s="2">
        <v>11610</v>
      </c>
      <c r="P369" s="2" t="s">
        <v>51</v>
      </c>
      <c r="Q369" s="3">
        <v>0.97</v>
      </c>
      <c r="R369" s="2" t="s">
        <v>1667</v>
      </c>
    </row>
    <row r="370" spans="1:18" ht="15" customHeight="1" x14ac:dyDescent="0.25">
      <c r="A370" s="2">
        <v>369</v>
      </c>
      <c r="B370" s="2" t="s">
        <v>1951</v>
      </c>
      <c r="C370" s="2" t="s">
        <v>1614</v>
      </c>
      <c r="D370" s="2" t="s">
        <v>1620</v>
      </c>
      <c r="E370" s="2" t="s">
        <v>55</v>
      </c>
      <c r="F370" s="2" t="s">
        <v>22</v>
      </c>
      <c r="G370" s="2" t="s">
        <v>102</v>
      </c>
      <c r="H370" s="2" t="s">
        <v>1952</v>
      </c>
      <c r="I370" s="2">
        <v>6289911827</v>
      </c>
      <c r="J370" s="2" t="s">
        <v>416</v>
      </c>
      <c r="K370" s="2" t="s">
        <v>1953</v>
      </c>
      <c r="L370" s="2">
        <v>8858125303</v>
      </c>
      <c r="M370" s="2" t="s">
        <v>1954</v>
      </c>
      <c r="N370" s="2" t="s">
        <v>215</v>
      </c>
      <c r="O370" s="2">
        <v>1017</v>
      </c>
      <c r="P370" s="2" t="s">
        <v>77</v>
      </c>
      <c r="Q370" s="3">
        <v>0.93</v>
      </c>
      <c r="R370" s="2" t="s">
        <v>1725</v>
      </c>
    </row>
    <row r="371" spans="1:18" ht="15" customHeight="1" x14ac:dyDescent="0.25">
      <c r="A371" s="2">
        <v>370</v>
      </c>
      <c r="B371" s="2" t="s">
        <v>1955</v>
      </c>
      <c r="C371" s="2" t="s">
        <v>1614</v>
      </c>
      <c r="D371" s="2" t="s">
        <v>1731</v>
      </c>
      <c r="E371" s="2" t="s">
        <v>21</v>
      </c>
      <c r="F371" s="2" t="s">
        <v>22</v>
      </c>
      <c r="G371" s="2" t="s">
        <v>45</v>
      </c>
      <c r="H371" s="2" t="s">
        <v>1956</v>
      </c>
      <c r="I371" s="2">
        <v>9734629857</v>
      </c>
      <c r="J371" s="2" t="s">
        <v>98</v>
      </c>
      <c r="K371" s="2" t="s">
        <v>1957</v>
      </c>
      <c r="L371" s="2">
        <v>9762433935</v>
      </c>
      <c r="M371" s="2" t="s">
        <v>1055</v>
      </c>
      <c r="N371" s="2" t="s">
        <v>289</v>
      </c>
      <c r="O371" s="2">
        <v>2292</v>
      </c>
      <c r="P371" s="2" t="s">
        <v>139</v>
      </c>
      <c r="Q371" s="3">
        <v>0.84</v>
      </c>
      <c r="R371" s="2" t="s">
        <v>1681</v>
      </c>
    </row>
    <row r="372" spans="1:18" ht="15" customHeight="1" x14ac:dyDescent="0.25">
      <c r="A372" s="2">
        <v>371</v>
      </c>
      <c r="B372" s="2" t="s">
        <v>1958</v>
      </c>
      <c r="C372" s="2" t="s">
        <v>1614</v>
      </c>
      <c r="D372" s="2" t="s">
        <v>1761</v>
      </c>
      <c r="E372" s="2" t="s">
        <v>21</v>
      </c>
      <c r="F372" s="2" t="s">
        <v>34</v>
      </c>
      <c r="G372" s="2" t="s">
        <v>156</v>
      </c>
      <c r="H372" s="2" t="s">
        <v>1959</v>
      </c>
      <c r="I372" s="2">
        <v>8160611912</v>
      </c>
      <c r="J372" s="2" t="s">
        <v>1960</v>
      </c>
      <c r="K372" s="2" t="s">
        <v>1961</v>
      </c>
      <c r="L372" s="2">
        <v>7365873433</v>
      </c>
      <c r="M372" s="2" t="s">
        <v>1962</v>
      </c>
      <c r="N372" s="2" t="s">
        <v>161</v>
      </c>
      <c r="O372" s="2">
        <v>6503</v>
      </c>
      <c r="P372" s="2" t="s">
        <v>70</v>
      </c>
      <c r="Q372" s="3">
        <v>0.9</v>
      </c>
      <c r="R372" s="2" t="s">
        <v>1746</v>
      </c>
    </row>
    <row r="373" spans="1:18" ht="15" customHeight="1" x14ac:dyDescent="0.25">
      <c r="A373" s="2">
        <v>372</v>
      </c>
      <c r="B373" s="2" t="s">
        <v>1963</v>
      </c>
      <c r="C373" s="2" t="s">
        <v>1614</v>
      </c>
      <c r="D373" s="2" t="s">
        <v>1669</v>
      </c>
      <c r="E373" s="2" t="s">
        <v>21</v>
      </c>
      <c r="F373" s="2" t="s">
        <v>22</v>
      </c>
      <c r="G373" s="2" t="s">
        <v>156</v>
      </c>
      <c r="H373" s="2" t="s">
        <v>1964</v>
      </c>
      <c r="I373" s="2">
        <v>6847279721</v>
      </c>
      <c r="J373" s="2" t="s">
        <v>744</v>
      </c>
      <c r="K373" s="2" t="s">
        <v>1699</v>
      </c>
      <c r="L373" s="2">
        <v>9731348637</v>
      </c>
      <c r="M373" s="2" t="s">
        <v>1965</v>
      </c>
      <c r="N373" s="2" t="s">
        <v>202</v>
      </c>
      <c r="O373" s="2">
        <v>2375</v>
      </c>
      <c r="P373" s="2" t="s">
        <v>70</v>
      </c>
      <c r="Q373" s="3">
        <v>0.62</v>
      </c>
      <c r="R373" s="2" t="s">
        <v>1708</v>
      </c>
    </row>
    <row r="374" spans="1:18" ht="15" customHeight="1" x14ac:dyDescent="0.25">
      <c r="A374" s="2">
        <v>373</v>
      </c>
      <c r="B374" s="2" t="s">
        <v>1966</v>
      </c>
      <c r="C374" s="2" t="s">
        <v>1614</v>
      </c>
      <c r="D374" s="2" t="s">
        <v>1656</v>
      </c>
      <c r="E374" s="2" t="s">
        <v>55</v>
      </c>
      <c r="F374" s="2" t="s">
        <v>22</v>
      </c>
      <c r="G374" s="2" t="s">
        <v>35</v>
      </c>
      <c r="H374" s="2" t="s">
        <v>634</v>
      </c>
      <c r="I374" s="2">
        <v>8490127233</v>
      </c>
      <c r="J374" s="2" t="s">
        <v>635</v>
      </c>
      <c r="K374" s="2" t="s">
        <v>1967</v>
      </c>
      <c r="L374" s="2">
        <v>9316636672</v>
      </c>
      <c r="M374" s="2" t="s">
        <v>1968</v>
      </c>
      <c r="N374" s="2" t="s">
        <v>50</v>
      </c>
      <c r="O374" s="2">
        <v>8501</v>
      </c>
      <c r="P374" s="2" t="s">
        <v>51</v>
      </c>
      <c r="Q374" s="3">
        <v>0.85</v>
      </c>
      <c r="R374" s="2" t="s">
        <v>1625</v>
      </c>
    </row>
    <row r="375" spans="1:18" ht="15" customHeight="1" x14ac:dyDescent="0.25">
      <c r="A375" s="2">
        <v>374</v>
      </c>
      <c r="B375" s="2" t="s">
        <v>1969</v>
      </c>
      <c r="C375" s="2" t="s">
        <v>1614</v>
      </c>
      <c r="D375" s="2" t="s">
        <v>1650</v>
      </c>
      <c r="E375" s="2" t="s">
        <v>21</v>
      </c>
      <c r="F375" s="2" t="s">
        <v>22</v>
      </c>
      <c r="G375" s="2" t="s">
        <v>156</v>
      </c>
      <c r="H375" s="2" t="s">
        <v>1970</v>
      </c>
      <c r="I375" s="2">
        <v>9558601461</v>
      </c>
      <c r="J375" s="2" t="s">
        <v>1971</v>
      </c>
      <c r="K375" s="2" t="s">
        <v>1972</v>
      </c>
      <c r="L375" s="2">
        <v>7472928235</v>
      </c>
      <c r="M375" s="2" t="s">
        <v>264</v>
      </c>
      <c r="N375" s="2" t="s">
        <v>202</v>
      </c>
      <c r="O375" s="2">
        <v>9896</v>
      </c>
      <c r="P375" s="2" t="s">
        <v>77</v>
      </c>
      <c r="Q375" s="3">
        <v>0.9</v>
      </c>
      <c r="R375" s="2" t="s">
        <v>1799</v>
      </c>
    </row>
    <row r="376" spans="1:18" ht="15" customHeight="1" x14ac:dyDescent="0.25">
      <c r="A376" s="2">
        <v>375</v>
      </c>
      <c r="B376" s="2" t="s">
        <v>1973</v>
      </c>
      <c r="C376" s="2" t="s">
        <v>1614</v>
      </c>
      <c r="D376" s="2" t="s">
        <v>1627</v>
      </c>
      <c r="E376" s="2" t="s">
        <v>33</v>
      </c>
      <c r="F376" s="2" t="s">
        <v>22</v>
      </c>
      <c r="G376" s="2" t="s">
        <v>35</v>
      </c>
      <c r="H376" s="2" t="s">
        <v>692</v>
      </c>
      <c r="I376" s="2">
        <v>9328656334</v>
      </c>
      <c r="J376" s="2" t="s">
        <v>693</v>
      </c>
      <c r="K376" s="2" t="s">
        <v>837</v>
      </c>
      <c r="L376" s="2">
        <v>9387694035</v>
      </c>
      <c r="M376" s="2" t="s">
        <v>838</v>
      </c>
      <c r="N376" s="2" t="s">
        <v>146</v>
      </c>
      <c r="O376" s="2">
        <v>3778</v>
      </c>
      <c r="P376" s="2" t="s">
        <v>77</v>
      </c>
      <c r="Q376" s="3">
        <v>0.72</v>
      </c>
      <c r="R376" s="2" t="s">
        <v>1643</v>
      </c>
    </row>
    <row r="377" spans="1:18" ht="15" customHeight="1" x14ac:dyDescent="0.25">
      <c r="A377" s="2">
        <v>376</v>
      </c>
      <c r="B377" s="2" t="s">
        <v>1974</v>
      </c>
      <c r="C377" s="2" t="s">
        <v>1614</v>
      </c>
      <c r="D377" s="2" t="s">
        <v>1731</v>
      </c>
      <c r="E377" s="2" t="s">
        <v>55</v>
      </c>
      <c r="F377" s="2" t="s">
        <v>22</v>
      </c>
      <c r="G377" s="2" t="s">
        <v>156</v>
      </c>
      <c r="H377" s="2" t="s">
        <v>1975</v>
      </c>
      <c r="I377" s="2">
        <v>8984452639</v>
      </c>
      <c r="J377" s="2" t="s">
        <v>1976</v>
      </c>
      <c r="K377" s="2" t="s">
        <v>1977</v>
      </c>
      <c r="L377" s="2">
        <v>8793683022</v>
      </c>
      <c r="M377" s="2" t="s">
        <v>1978</v>
      </c>
      <c r="N377" s="2" t="s">
        <v>195</v>
      </c>
      <c r="O377" s="2">
        <v>6468</v>
      </c>
      <c r="P377" s="2" t="s">
        <v>77</v>
      </c>
      <c r="Q377" s="3">
        <v>0.61</v>
      </c>
      <c r="R377" s="2" t="s">
        <v>1812</v>
      </c>
    </row>
    <row r="378" spans="1:18" ht="15" customHeight="1" x14ac:dyDescent="0.25">
      <c r="A378" s="2">
        <v>377</v>
      </c>
      <c r="B378" s="2" t="s">
        <v>1979</v>
      </c>
      <c r="C378" s="2" t="s">
        <v>1614</v>
      </c>
      <c r="D378" s="2" t="s">
        <v>1683</v>
      </c>
      <c r="E378" s="2" t="s">
        <v>21</v>
      </c>
      <c r="F378" s="2" t="s">
        <v>22</v>
      </c>
      <c r="G378" s="2" t="s">
        <v>156</v>
      </c>
      <c r="H378" s="2" t="s">
        <v>1980</v>
      </c>
      <c r="I378" s="2">
        <v>7392822240</v>
      </c>
      <c r="J378" s="2" t="s">
        <v>1981</v>
      </c>
      <c r="K378" s="2" t="s">
        <v>1982</v>
      </c>
      <c r="L378" s="2">
        <v>7131290846</v>
      </c>
      <c r="M378" s="2" t="s">
        <v>25</v>
      </c>
      <c r="N378" s="2" t="s">
        <v>161</v>
      </c>
      <c r="O378" s="2">
        <v>3644</v>
      </c>
      <c r="P378" s="2" t="s">
        <v>51</v>
      </c>
      <c r="Q378" s="3">
        <v>0.66</v>
      </c>
      <c r="R378" s="2" t="s">
        <v>1681</v>
      </c>
    </row>
    <row r="379" spans="1:18" ht="15" customHeight="1" x14ac:dyDescent="0.25">
      <c r="A379" s="2">
        <v>378</v>
      </c>
      <c r="B379" s="2" t="s">
        <v>1983</v>
      </c>
      <c r="C379" s="2" t="s">
        <v>1614</v>
      </c>
      <c r="D379" s="2" t="s">
        <v>1650</v>
      </c>
      <c r="E379" s="2" t="s">
        <v>21</v>
      </c>
      <c r="F379" s="2" t="s">
        <v>22</v>
      </c>
      <c r="G379" s="2" t="s">
        <v>156</v>
      </c>
      <c r="H379" s="2" t="s">
        <v>1984</v>
      </c>
      <c r="I379" s="2">
        <v>6526162812</v>
      </c>
      <c r="J379" s="2" t="s">
        <v>1985</v>
      </c>
      <c r="K379" s="2" t="s">
        <v>1986</v>
      </c>
      <c r="L379" s="2">
        <v>7353447260</v>
      </c>
      <c r="M379" s="2" t="s">
        <v>1987</v>
      </c>
      <c r="N379" s="2" t="s">
        <v>289</v>
      </c>
      <c r="O379" s="2">
        <v>826</v>
      </c>
      <c r="P379" s="2" t="s">
        <v>51</v>
      </c>
      <c r="Q379" s="3">
        <v>0.92</v>
      </c>
      <c r="R379" s="2" t="s">
        <v>1714</v>
      </c>
    </row>
    <row r="380" spans="1:18" ht="15" customHeight="1" x14ac:dyDescent="0.25">
      <c r="A380" s="2">
        <v>379</v>
      </c>
      <c r="B380" s="2" t="s">
        <v>1988</v>
      </c>
      <c r="C380" s="2" t="s">
        <v>1614</v>
      </c>
      <c r="D380" s="2" t="s">
        <v>1627</v>
      </c>
      <c r="E380" s="2" t="s">
        <v>21</v>
      </c>
      <c r="F380" s="2" t="s">
        <v>22</v>
      </c>
      <c r="G380" s="2" t="s">
        <v>35</v>
      </c>
      <c r="H380" s="2" t="s">
        <v>1989</v>
      </c>
      <c r="I380" s="2">
        <v>7254917225</v>
      </c>
      <c r="J380" s="2" t="s">
        <v>1990</v>
      </c>
      <c r="K380" s="2" t="s">
        <v>737</v>
      </c>
      <c r="L380" s="2">
        <v>6288070455</v>
      </c>
      <c r="M380" s="2" t="s">
        <v>1991</v>
      </c>
      <c r="N380" s="2" t="s">
        <v>40</v>
      </c>
      <c r="O380" s="2">
        <v>8633</v>
      </c>
      <c r="P380" s="2" t="s">
        <v>51</v>
      </c>
      <c r="Q380" s="3">
        <v>0.65</v>
      </c>
      <c r="R380" s="2" t="s">
        <v>1661</v>
      </c>
    </row>
    <row r="381" spans="1:18" ht="15" customHeight="1" x14ac:dyDescent="0.25">
      <c r="A381" s="2">
        <v>380</v>
      </c>
      <c r="B381" s="2" t="s">
        <v>1992</v>
      </c>
      <c r="C381" s="2" t="s">
        <v>1614</v>
      </c>
      <c r="D381" s="2" t="s">
        <v>1632</v>
      </c>
      <c r="E381" s="2" t="s">
        <v>33</v>
      </c>
      <c r="F381" s="2" t="s">
        <v>34</v>
      </c>
      <c r="G381" s="2" t="s">
        <v>35</v>
      </c>
      <c r="H381" s="2" t="s">
        <v>1993</v>
      </c>
      <c r="I381" s="2">
        <v>8610265498</v>
      </c>
      <c r="J381" s="2" t="s">
        <v>1994</v>
      </c>
      <c r="K381" s="2" t="s">
        <v>1995</v>
      </c>
      <c r="L381" s="2">
        <v>8981934350</v>
      </c>
      <c r="M381" s="2" t="s">
        <v>1996</v>
      </c>
      <c r="N381" s="2" t="s">
        <v>271</v>
      </c>
      <c r="O381" s="2">
        <v>8534</v>
      </c>
      <c r="P381" s="2" t="s">
        <v>139</v>
      </c>
      <c r="Q381" s="3">
        <v>0.71</v>
      </c>
      <c r="R381" s="2" t="s">
        <v>1696</v>
      </c>
    </row>
    <row r="382" spans="1:18" ht="15" customHeight="1" x14ac:dyDescent="0.25">
      <c r="A382" s="2">
        <v>381</v>
      </c>
      <c r="B382" s="2" t="s">
        <v>1997</v>
      </c>
      <c r="C382" s="2" t="s">
        <v>1614</v>
      </c>
      <c r="D382" s="2" t="s">
        <v>1683</v>
      </c>
      <c r="E382" s="2" t="s">
        <v>21</v>
      </c>
      <c r="F382" s="2" t="s">
        <v>22</v>
      </c>
      <c r="G382" s="2" t="s">
        <v>156</v>
      </c>
      <c r="H382" s="2" t="s">
        <v>1998</v>
      </c>
      <c r="I382" s="2">
        <v>8423076194</v>
      </c>
      <c r="J382" s="2" t="s">
        <v>1999</v>
      </c>
      <c r="K382" s="2" t="s">
        <v>2000</v>
      </c>
      <c r="L382" s="2">
        <v>6983375690</v>
      </c>
      <c r="M382" s="2" t="s">
        <v>2001</v>
      </c>
      <c r="N382" s="2" t="s">
        <v>28</v>
      </c>
      <c r="O382" s="2">
        <v>4644</v>
      </c>
      <c r="P382" s="2" t="s">
        <v>139</v>
      </c>
      <c r="Q382" s="3">
        <v>0.72</v>
      </c>
      <c r="R382" s="2" t="s">
        <v>1729</v>
      </c>
    </row>
    <row r="383" spans="1:18" ht="15" customHeight="1" x14ac:dyDescent="0.25">
      <c r="A383" s="2">
        <v>382</v>
      </c>
      <c r="B383" s="2" t="s">
        <v>1963</v>
      </c>
      <c r="C383" s="2" t="s">
        <v>1614</v>
      </c>
      <c r="D383" s="2" t="s">
        <v>1782</v>
      </c>
      <c r="E383" s="2" t="s">
        <v>21</v>
      </c>
      <c r="F383" s="2" t="s">
        <v>22</v>
      </c>
      <c r="G383" s="2" t="s">
        <v>102</v>
      </c>
      <c r="H383" s="2" t="s">
        <v>1771</v>
      </c>
      <c r="I383" s="2">
        <v>8643672548</v>
      </c>
      <c r="J383" s="2" t="s">
        <v>1772</v>
      </c>
      <c r="K383" s="2" t="s">
        <v>2002</v>
      </c>
      <c r="L383" s="2">
        <v>6477802873</v>
      </c>
      <c r="M383" s="2" t="s">
        <v>1917</v>
      </c>
      <c r="N383" s="2" t="s">
        <v>462</v>
      </c>
      <c r="O383" s="2">
        <v>1055</v>
      </c>
      <c r="P383" s="2" t="s">
        <v>70</v>
      </c>
      <c r="Q383" s="3">
        <v>0.92</v>
      </c>
      <c r="R383" s="2" t="s">
        <v>1708</v>
      </c>
    </row>
    <row r="384" spans="1:18" ht="15" customHeight="1" x14ac:dyDescent="0.25">
      <c r="A384" s="2">
        <v>383</v>
      </c>
      <c r="B384" s="2" t="s">
        <v>2003</v>
      </c>
      <c r="C384" s="2" t="s">
        <v>1614</v>
      </c>
      <c r="D384" s="2" t="s">
        <v>1650</v>
      </c>
      <c r="E384" s="2" t="s">
        <v>55</v>
      </c>
      <c r="F384" s="2" t="s">
        <v>22</v>
      </c>
      <c r="G384" s="2" t="s">
        <v>156</v>
      </c>
      <c r="H384" s="2" t="s">
        <v>2004</v>
      </c>
      <c r="I384" s="2">
        <v>6219000878</v>
      </c>
      <c r="J384" s="2" t="s">
        <v>2005</v>
      </c>
      <c r="K384" s="2" t="s">
        <v>1617</v>
      </c>
      <c r="L384" s="2">
        <v>7368009789</v>
      </c>
      <c r="M384" s="2" t="s">
        <v>849</v>
      </c>
      <c r="N384" s="2" t="s">
        <v>271</v>
      </c>
      <c r="O384" s="2">
        <v>11008</v>
      </c>
      <c r="P384" s="2" t="s">
        <v>29</v>
      </c>
      <c r="Q384" s="3">
        <v>0.63</v>
      </c>
      <c r="R384" s="2" t="s">
        <v>1636</v>
      </c>
    </row>
    <row r="385" spans="1:18" ht="15" customHeight="1" x14ac:dyDescent="0.25">
      <c r="A385" s="2">
        <v>384</v>
      </c>
      <c r="B385" s="2" t="s">
        <v>2006</v>
      </c>
      <c r="C385" s="2" t="s">
        <v>1614</v>
      </c>
      <c r="D385" s="2" t="s">
        <v>1683</v>
      </c>
      <c r="E385" s="2" t="s">
        <v>55</v>
      </c>
      <c r="F385" s="2" t="s">
        <v>22</v>
      </c>
      <c r="G385" s="2" t="s">
        <v>102</v>
      </c>
      <c r="H385" s="2" t="s">
        <v>2007</v>
      </c>
      <c r="I385" s="2">
        <v>8295302103</v>
      </c>
      <c r="J385" s="2" t="s">
        <v>2008</v>
      </c>
      <c r="K385" s="2" t="s">
        <v>2009</v>
      </c>
      <c r="L385" s="2">
        <v>9505144293</v>
      </c>
      <c r="M385" s="2" t="s">
        <v>2010</v>
      </c>
      <c r="N385" s="2" t="s">
        <v>84</v>
      </c>
      <c r="O385" s="2">
        <v>8337</v>
      </c>
      <c r="P385" s="2" t="s">
        <v>41</v>
      </c>
      <c r="Q385" s="3">
        <v>0.87</v>
      </c>
      <c r="R385" s="2" t="s">
        <v>1808</v>
      </c>
    </row>
    <row r="386" spans="1:18" ht="15" customHeight="1" x14ac:dyDescent="0.25">
      <c r="A386" s="2">
        <v>385</v>
      </c>
      <c r="B386" s="2" t="s">
        <v>2011</v>
      </c>
      <c r="C386" s="2" t="s">
        <v>1614</v>
      </c>
      <c r="D386" s="2" t="s">
        <v>1748</v>
      </c>
      <c r="E386" s="2" t="s">
        <v>21</v>
      </c>
      <c r="F386" s="2" t="s">
        <v>22</v>
      </c>
      <c r="G386" s="2" t="s">
        <v>35</v>
      </c>
      <c r="H386" s="2" t="s">
        <v>1054</v>
      </c>
      <c r="I386" s="2">
        <v>8282668050</v>
      </c>
      <c r="J386" s="2" t="s">
        <v>2012</v>
      </c>
      <c r="K386" s="2" t="s">
        <v>1452</v>
      </c>
      <c r="L386" s="2">
        <v>6115155764</v>
      </c>
      <c r="M386" s="2" t="s">
        <v>2013</v>
      </c>
      <c r="N386" s="2" t="s">
        <v>28</v>
      </c>
      <c r="O386" s="2">
        <v>1957</v>
      </c>
      <c r="P386" s="2" t="s">
        <v>77</v>
      </c>
      <c r="Q386" s="3">
        <v>0.64</v>
      </c>
      <c r="R386" s="2" t="s">
        <v>1823</v>
      </c>
    </row>
    <row r="387" spans="1:18" ht="15" customHeight="1" x14ac:dyDescent="0.25">
      <c r="A387" s="2">
        <v>386</v>
      </c>
      <c r="B387" s="2" t="s">
        <v>2014</v>
      </c>
      <c r="C387" s="2" t="s">
        <v>1614</v>
      </c>
      <c r="D387" s="2" t="s">
        <v>1632</v>
      </c>
      <c r="E387" s="2" t="s">
        <v>55</v>
      </c>
      <c r="F387" s="2" t="s">
        <v>22</v>
      </c>
      <c r="G387" s="2" t="s">
        <v>23</v>
      </c>
      <c r="H387" s="2" t="s">
        <v>2015</v>
      </c>
      <c r="I387" s="2">
        <v>7984858711</v>
      </c>
      <c r="J387" s="2" t="s">
        <v>2016</v>
      </c>
      <c r="K387" s="2" t="s">
        <v>2017</v>
      </c>
      <c r="L387" s="2">
        <v>8880296841</v>
      </c>
      <c r="M387" s="2" t="s">
        <v>1932</v>
      </c>
      <c r="N387" s="2" t="s">
        <v>195</v>
      </c>
      <c r="O387" s="2">
        <v>3621</v>
      </c>
      <c r="P387" s="2" t="s">
        <v>41</v>
      </c>
      <c r="Q387" s="3">
        <v>0.9</v>
      </c>
      <c r="R387" s="2" t="s">
        <v>1808</v>
      </c>
    </row>
    <row r="388" spans="1:18" ht="15" customHeight="1" x14ac:dyDescent="0.25">
      <c r="A388" s="2">
        <v>387</v>
      </c>
      <c r="B388" s="2" t="s">
        <v>2018</v>
      </c>
      <c r="C388" s="2" t="s">
        <v>1614</v>
      </c>
      <c r="D388" s="2" t="s">
        <v>1703</v>
      </c>
      <c r="E388" s="2" t="s">
        <v>33</v>
      </c>
      <c r="F388" s="2" t="s">
        <v>22</v>
      </c>
      <c r="G388" s="2" t="s">
        <v>156</v>
      </c>
      <c r="H388" s="2" t="s">
        <v>2019</v>
      </c>
      <c r="I388" s="2">
        <v>9243027709</v>
      </c>
      <c r="J388" s="2" t="s">
        <v>2020</v>
      </c>
      <c r="K388" s="2" t="s">
        <v>339</v>
      </c>
      <c r="L388" s="2">
        <v>8844128379</v>
      </c>
      <c r="M388" s="2" t="s">
        <v>402</v>
      </c>
      <c r="N388" s="2" t="s">
        <v>202</v>
      </c>
      <c r="O388" s="2">
        <v>4789</v>
      </c>
      <c r="P388" s="2" t="s">
        <v>61</v>
      </c>
      <c r="Q388" s="3">
        <v>0.82</v>
      </c>
      <c r="R388" s="2" t="s">
        <v>1691</v>
      </c>
    </row>
    <row r="389" spans="1:18" ht="15" customHeight="1" x14ac:dyDescent="0.25">
      <c r="A389" s="2">
        <v>388</v>
      </c>
      <c r="B389" s="2" t="s">
        <v>1884</v>
      </c>
      <c r="C389" s="2" t="s">
        <v>1614</v>
      </c>
      <c r="D389" s="2" t="s">
        <v>1656</v>
      </c>
      <c r="E389" s="2" t="s">
        <v>55</v>
      </c>
      <c r="F389" s="2" t="s">
        <v>22</v>
      </c>
      <c r="G389" s="2" t="s">
        <v>35</v>
      </c>
      <c r="H389" s="2" t="s">
        <v>1857</v>
      </c>
      <c r="I389" s="2">
        <v>9424814794</v>
      </c>
      <c r="J389" s="2" t="s">
        <v>2021</v>
      </c>
      <c r="K389" s="2" t="s">
        <v>2022</v>
      </c>
      <c r="L389" s="2">
        <v>9820762108</v>
      </c>
      <c r="M389" s="2" t="s">
        <v>687</v>
      </c>
      <c r="N389" s="2" t="s">
        <v>40</v>
      </c>
      <c r="O389" s="2">
        <v>1696</v>
      </c>
      <c r="P389" s="2" t="s">
        <v>51</v>
      </c>
      <c r="Q389" s="3">
        <v>0.79</v>
      </c>
      <c r="R389" s="2" t="s">
        <v>1765</v>
      </c>
    </row>
    <row r="390" spans="1:18" ht="15" customHeight="1" x14ac:dyDescent="0.25">
      <c r="A390" s="2">
        <v>389</v>
      </c>
      <c r="B390" s="2" t="s">
        <v>2023</v>
      </c>
      <c r="C390" s="2" t="s">
        <v>1614</v>
      </c>
      <c r="D390" s="2" t="s">
        <v>1650</v>
      </c>
      <c r="E390" s="2" t="s">
        <v>21</v>
      </c>
      <c r="F390" s="2" t="s">
        <v>22</v>
      </c>
      <c r="G390" s="2" t="s">
        <v>102</v>
      </c>
      <c r="H390" s="2" t="s">
        <v>2024</v>
      </c>
      <c r="I390" s="2">
        <v>8225458204</v>
      </c>
      <c r="J390" s="2" t="s">
        <v>2025</v>
      </c>
      <c r="K390" s="2" t="s">
        <v>541</v>
      </c>
      <c r="L390" s="2">
        <v>8147418754</v>
      </c>
      <c r="M390" s="2" t="s">
        <v>542</v>
      </c>
      <c r="N390" s="2" t="s">
        <v>138</v>
      </c>
      <c r="O390" s="2">
        <v>8753</v>
      </c>
      <c r="P390" s="2" t="s">
        <v>77</v>
      </c>
      <c r="Q390" s="3">
        <v>0.95</v>
      </c>
      <c r="R390" s="2" t="s">
        <v>1753</v>
      </c>
    </row>
    <row r="391" spans="1:18" ht="15" customHeight="1" x14ac:dyDescent="0.25">
      <c r="A391" s="2">
        <v>390</v>
      </c>
      <c r="B391" s="2" t="s">
        <v>1935</v>
      </c>
      <c r="C391" s="2" t="s">
        <v>1614</v>
      </c>
      <c r="D391" s="2" t="s">
        <v>1825</v>
      </c>
      <c r="E391" s="2" t="s">
        <v>55</v>
      </c>
      <c r="F391" s="2" t="s">
        <v>22</v>
      </c>
      <c r="G391" s="2" t="s">
        <v>45</v>
      </c>
      <c r="H391" s="2" t="s">
        <v>755</v>
      </c>
      <c r="I391" s="2">
        <v>9157146895</v>
      </c>
      <c r="J391" s="2" t="s">
        <v>2026</v>
      </c>
      <c r="K391" s="2" t="s">
        <v>2027</v>
      </c>
      <c r="L391" s="2">
        <v>7259580383</v>
      </c>
      <c r="M391" s="2" t="s">
        <v>2028</v>
      </c>
      <c r="N391" s="2" t="s">
        <v>202</v>
      </c>
      <c r="O391" s="2">
        <v>4812</v>
      </c>
      <c r="P391" s="2" t="s">
        <v>139</v>
      </c>
      <c r="Q391" s="3">
        <v>0.91</v>
      </c>
      <c r="R391" s="2" t="s">
        <v>1667</v>
      </c>
    </row>
    <row r="392" spans="1:18" ht="15" customHeight="1" x14ac:dyDescent="0.25">
      <c r="A392" s="2">
        <v>391</v>
      </c>
      <c r="B392" s="2" t="s">
        <v>2029</v>
      </c>
      <c r="C392" s="2" t="s">
        <v>1614</v>
      </c>
      <c r="D392" s="2" t="s">
        <v>1703</v>
      </c>
      <c r="E392" s="2" t="s">
        <v>21</v>
      </c>
      <c r="F392" s="2" t="s">
        <v>22</v>
      </c>
      <c r="G392" s="2" t="s">
        <v>23</v>
      </c>
      <c r="H392" s="2" t="s">
        <v>1964</v>
      </c>
      <c r="I392" s="2">
        <v>6872840670</v>
      </c>
      <c r="J392" s="2" t="s">
        <v>1629</v>
      </c>
      <c r="K392" s="2" t="s">
        <v>328</v>
      </c>
      <c r="L392" s="2">
        <v>7232772727</v>
      </c>
      <c r="M392" s="2" t="s">
        <v>2030</v>
      </c>
      <c r="N392" s="2" t="s">
        <v>84</v>
      </c>
      <c r="O392" s="2">
        <v>7650</v>
      </c>
      <c r="P392" s="2" t="s">
        <v>51</v>
      </c>
      <c r="Q392" s="3">
        <v>0.98</v>
      </c>
      <c r="R392" s="2" t="s">
        <v>1636</v>
      </c>
    </row>
    <row r="393" spans="1:18" ht="15" customHeight="1" x14ac:dyDescent="0.25">
      <c r="A393" s="2">
        <v>392</v>
      </c>
      <c r="B393" s="2" t="s">
        <v>2031</v>
      </c>
      <c r="C393" s="2" t="s">
        <v>1614</v>
      </c>
      <c r="D393" s="2" t="s">
        <v>1782</v>
      </c>
      <c r="E393" s="2" t="s">
        <v>33</v>
      </c>
      <c r="F393" s="2" t="s">
        <v>34</v>
      </c>
      <c r="G393" s="2" t="s">
        <v>23</v>
      </c>
      <c r="H393" s="2" t="s">
        <v>2032</v>
      </c>
      <c r="I393" s="2">
        <v>6452893605</v>
      </c>
      <c r="J393" s="2" t="s">
        <v>2033</v>
      </c>
      <c r="K393" s="2" t="s">
        <v>2034</v>
      </c>
      <c r="L393" s="2">
        <v>6405244667</v>
      </c>
      <c r="M393" s="2" t="s">
        <v>2035</v>
      </c>
      <c r="N393" s="2" t="s">
        <v>40</v>
      </c>
      <c r="O393" s="2">
        <v>9728</v>
      </c>
      <c r="P393" s="2" t="s">
        <v>29</v>
      </c>
      <c r="Q393" s="3">
        <v>0.8</v>
      </c>
      <c r="R393" s="2" t="s">
        <v>1746</v>
      </c>
    </row>
    <row r="394" spans="1:18" ht="15" customHeight="1" x14ac:dyDescent="0.25">
      <c r="A394" s="2">
        <v>393</v>
      </c>
      <c r="B394" s="2" t="s">
        <v>2036</v>
      </c>
      <c r="C394" s="2" t="s">
        <v>1614</v>
      </c>
      <c r="D394" s="2" t="s">
        <v>1615</v>
      </c>
      <c r="E394" s="2" t="s">
        <v>55</v>
      </c>
      <c r="F394" s="2" t="s">
        <v>22</v>
      </c>
      <c r="G394" s="2" t="s">
        <v>156</v>
      </c>
      <c r="H394" s="2" t="s">
        <v>2037</v>
      </c>
      <c r="I394" s="2">
        <v>9448875327</v>
      </c>
      <c r="J394" s="2" t="s">
        <v>2038</v>
      </c>
      <c r="K394" s="2" t="s">
        <v>2039</v>
      </c>
      <c r="L394" s="2">
        <v>7326953436</v>
      </c>
      <c r="M394" s="2" t="s">
        <v>2040</v>
      </c>
      <c r="N394" s="2" t="s">
        <v>146</v>
      </c>
      <c r="O394" s="2">
        <v>3019</v>
      </c>
      <c r="P394" s="2" t="s">
        <v>51</v>
      </c>
      <c r="Q394" s="3">
        <v>0.57999999999999996</v>
      </c>
      <c r="R394" s="2" t="s">
        <v>1661</v>
      </c>
    </row>
    <row r="395" spans="1:18" ht="15" customHeight="1" x14ac:dyDescent="0.25">
      <c r="A395" s="2">
        <v>394</v>
      </c>
      <c r="B395" s="2" t="s">
        <v>2041</v>
      </c>
      <c r="C395" s="2" t="s">
        <v>1614</v>
      </c>
      <c r="D395" s="2" t="s">
        <v>1761</v>
      </c>
      <c r="E395" s="2" t="s">
        <v>21</v>
      </c>
      <c r="F395" s="2" t="s">
        <v>22</v>
      </c>
      <c r="G395" s="2" t="s">
        <v>35</v>
      </c>
      <c r="H395" s="2" t="s">
        <v>990</v>
      </c>
      <c r="I395" s="2">
        <v>8794891350</v>
      </c>
      <c r="J395" s="2" t="s">
        <v>2042</v>
      </c>
      <c r="K395" s="2" t="s">
        <v>2043</v>
      </c>
      <c r="L395" s="2">
        <v>7229495399</v>
      </c>
      <c r="M395" s="2" t="s">
        <v>2044</v>
      </c>
      <c r="N395" s="2" t="s">
        <v>107</v>
      </c>
      <c r="O395" s="2">
        <v>2016</v>
      </c>
      <c r="P395" s="2" t="s">
        <v>77</v>
      </c>
      <c r="Q395" s="3">
        <v>0.66</v>
      </c>
      <c r="R395" s="2" t="s">
        <v>1636</v>
      </c>
    </row>
    <row r="396" spans="1:18" ht="15" customHeight="1" x14ac:dyDescent="0.25">
      <c r="A396" s="2">
        <v>395</v>
      </c>
      <c r="B396" s="2" t="s">
        <v>2045</v>
      </c>
      <c r="C396" s="2" t="s">
        <v>1614</v>
      </c>
      <c r="D396" s="2" t="s">
        <v>1731</v>
      </c>
      <c r="E396" s="2" t="s">
        <v>55</v>
      </c>
      <c r="F396" s="2" t="s">
        <v>22</v>
      </c>
      <c r="G396" s="2" t="s">
        <v>102</v>
      </c>
      <c r="H396" s="2" t="s">
        <v>2046</v>
      </c>
      <c r="I396" s="2">
        <v>9196875511</v>
      </c>
      <c r="J396" s="2" t="s">
        <v>2047</v>
      </c>
      <c r="K396" s="2" t="s">
        <v>2048</v>
      </c>
      <c r="L396" s="2">
        <v>9970798567</v>
      </c>
      <c r="M396" s="2" t="s">
        <v>2049</v>
      </c>
      <c r="N396" s="2" t="s">
        <v>161</v>
      </c>
      <c r="O396" s="2">
        <v>6382</v>
      </c>
      <c r="P396" s="2" t="s">
        <v>29</v>
      </c>
      <c r="Q396" s="3">
        <v>0.59</v>
      </c>
      <c r="R396" s="2" t="s">
        <v>1729</v>
      </c>
    </row>
    <row r="397" spans="1:18" ht="15" customHeight="1" x14ac:dyDescent="0.25">
      <c r="A397" s="2">
        <v>396</v>
      </c>
      <c r="B397" s="2" t="s">
        <v>2050</v>
      </c>
      <c r="C397" s="2" t="s">
        <v>1614</v>
      </c>
      <c r="D397" s="2" t="s">
        <v>1703</v>
      </c>
      <c r="E397" s="2" t="s">
        <v>33</v>
      </c>
      <c r="F397" s="2" t="s">
        <v>22</v>
      </c>
      <c r="G397" s="2" t="s">
        <v>156</v>
      </c>
      <c r="H397" s="2" t="s">
        <v>2051</v>
      </c>
      <c r="I397" s="2">
        <v>9569606919</v>
      </c>
      <c r="J397" s="2" t="s">
        <v>2052</v>
      </c>
      <c r="K397" s="2" t="s">
        <v>2053</v>
      </c>
      <c r="L397" s="2">
        <v>6960652062</v>
      </c>
      <c r="M397" s="2" t="s">
        <v>2054</v>
      </c>
      <c r="N397" s="2" t="s">
        <v>271</v>
      </c>
      <c r="O397" s="2">
        <v>8910</v>
      </c>
      <c r="P397" s="2" t="s">
        <v>70</v>
      </c>
      <c r="Q397" s="3">
        <v>0.97</v>
      </c>
      <c r="R397" s="2" t="s">
        <v>1753</v>
      </c>
    </row>
    <row r="398" spans="1:18" ht="15" customHeight="1" x14ac:dyDescent="0.25">
      <c r="A398" s="2">
        <v>397</v>
      </c>
      <c r="B398" s="2" t="s">
        <v>2055</v>
      </c>
      <c r="C398" s="2" t="s">
        <v>1614</v>
      </c>
      <c r="D398" s="2" t="s">
        <v>1638</v>
      </c>
      <c r="E398" s="2" t="s">
        <v>21</v>
      </c>
      <c r="F398" s="2" t="s">
        <v>22</v>
      </c>
      <c r="G398" s="2" t="s">
        <v>102</v>
      </c>
      <c r="H398" s="2" t="s">
        <v>2056</v>
      </c>
      <c r="I398" s="2">
        <v>6598921108</v>
      </c>
      <c r="J398" s="2" t="s">
        <v>2057</v>
      </c>
      <c r="K398" s="2" t="s">
        <v>2058</v>
      </c>
      <c r="L398" s="2">
        <v>8481669733</v>
      </c>
      <c r="M398" s="2" t="s">
        <v>1965</v>
      </c>
      <c r="N398" s="2" t="s">
        <v>28</v>
      </c>
      <c r="O398" s="2">
        <v>9070</v>
      </c>
      <c r="P398" s="2" t="s">
        <v>77</v>
      </c>
      <c r="Q398" s="3">
        <v>0.68</v>
      </c>
      <c r="R398" s="2" t="s">
        <v>1792</v>
      </c>
    </row>
    <row r="399" spans="1:18" ht="15" customHeight="1" x14ac:dyDescent="0.25">
      <c r="A399" s="2">
        <v>398</v>
      </c>
      <c r="B399" s="2" t="s">
        <v>2059</v>
      </c>
      <c r="C399" s="2" t="s">
        <v>1614</v>
      </c>
      <c r="D399" s="2" t="s">
        <v>1710</v>
      </c>
      <c r="E399" s="2" t="s">
        <v>55</v>
      </c>
      <c r="F399" s="2" t="s">
        <v>34</v>
      </c>
      <c r="G399" s="2" t="s">
        <v>45</v>
      </c>
      <c r="H399" s="2" t="s">
        <v>1580</v>
      </c>
      <c r="I399" s="2">
        <v>8466504998</v>
      </c>
      <c r="J399" s="2" t="s">
        <v>1581</v>
      </c>
      <c r="K399" s="2" t="s">
        <v>1206</v>
      </c>
      <c r="L399" s="2">
        <v>7326632940</v>
      </c>
      <c r="M399" s="2" t="s">
        <v>1207</v>
      </c>
      <c r="N399" s="2" t="s">
        <v>138</v>
      </c>
      <c r="O399" s="2">
        <v>3485</v>
      </c>
      <c r="P399" s="2" t="s">
        <v>41</v>
      </c>
      <c r="Q399" s="3">
        <v>0.72</v>
      </c>
      <c r="R399" s="2" t="s">
        <v>1714</v>
      </c>
    </row>
    <row r="400" spans="1:18" ht="15" customHeight="1" x14ac:dyDescent="0.25">
      <c r="A400" s="2">
        <v>399</v>
      </c>
      <c r="B400" s="2" t="s">
        <v>2060</v>
      </c>
      <c r="C400" s="2" t="s">
        <v>1614</v>
      </c>
      <c r="D400" s="2" t="s">
        <v>1683</v>
      </c>
      <c r="E400" s="2" t="s">
        <v>33</v>
      </c>
      <c r="F400" s="2" t="s">
        <v>22</v>
      </c>
      <c r="G400" s="2" t="s">
        <v>156</v>
      </c>
      <c r="H400" s="2" t="s">
        <v>1795</v>
      </c>
      <c r="I400" s="2">
        <v>9425129005</v>
      </c>
      <c r="J400" s="2" t="s">
        <v>1796</v>
      </c>
      <c r="K400" s="2" t="s">
        <v>2061</v>
      </c>
      <c r="L400" s="2">
        <v>8841592991</v>
      </c>
      <c r="M400" s="2" t="s">
        <v>1395</v>
      </c>
      <c r="N400" s="2" t="s">
        <v>462</v>
      </c>
      <c r="O400" s="2">
        <v>9255</v>
      </c>
      <c r="P400" s="2" t="s">
        <v>51</v>
      </c>
      <c r="Q400" s="3">
        <v>0.55000000000000004</v>
      </c>
      <c r="R400" s="2" t="s">
        <v>1686</v>
      </c>
    </row>
    <row r="401" spans="1:18" ht="15" customHeight="1" x14ac:dyDescent="0.25">
      <c r="A401" s="2">
        <v>400</v>
      </c>
      <c r="B401" s="2" t="s">
        <v>2062</v>
      </c>
      <c r="C401" s="2" t="s">
        <v>1614</v>
      </c>
      <c r="D401" s="2" t="s">
        <v>1710</v>
      </c>
      <c r="E401" s="2" t="s">
        <v>21</v>
      </c>
      <c r="F401" s="2" t="s">
        <v>34</v>
      </c>
      <c r="G401" s="2" t="s">
        <v>23</v>
      </c>
      <c r="H401" s="2" t="s">
        <v>2063</v>
      </c>
      <c r="I401" s="2">
        <v>7192442244</v>
      </c>
      <c r="J401" s="2" t="s">
        <v>2064</v>
      </c>
      <c r="K401" s="2" t="s">
        <v>2065</v>
      </c>
      <c r="L401" s="2">
        <v>8926481789</v>
      </c>
      <c r="M401" s="2" t="s">
        <v>1689</v>
      </c>
      <c r="N401" s="2" t="s">
        <v>50</v>
      </c>
      <c r="O401" s="2">
        <v>760</v>
      </c>
      <c r="P401" s="2" t="s">
        <v>29</v>
      </c>
      <c r="Q401" s="3">
        <v>0.97</v>
      </c>
      <c r="R401" s="2" t="s">
        <v>1765</v>
      </c>
    </row>
    <row r="402" spans="1:18" ht="15" customHeight="1" x14ac:dyDescent="0.25">
      <c r="A402" s="2">
        <v>401</v>
      </c>
      <c r="B402" s="2" t="s">
        <v>2066</v>
      </c>
      <c r="C402" s="2" t="s">
        <v>2067</v>
      </c>
      <c r="D402" s="2" t="s">
        <v>2068</v>
      </c>
      <c r="E402" s="2" t="s">
        <v>21</v>
      </c>
      <c r="F402" s="2" t="s">
        <v>22</v>
      </c>
      <c r="G402" s="2" t="s">
        <v>156</v>
      </c>
      <c r="H402" s="2" t="s">
        <v>2069</v>
      </c>
      <c r="I402" s="2">
        <v>9154677276</v>
      </c>
      <c r="J402" s="2" t="s">
        <v>2070</v>
      </c>
      <c r="K402" s="2" t="s">
        <v>2071</v>
      </c>
      <c r="L402" s="2">
        <v>8108454944</v>
      </c>
      <c r="M402" s="2" t="s">
        <v>2072</v>
      </c>
      <c r="N402" s="2" t="s">
        <v>50</v>
      </c>
      <c r="O402" s="2">
        <v>3221</v>
      </c>
      <c r="P402" s="2" t="s">
        <v>61</v>
      </c>
      <c r="Q402" s="3">
        <v>0.87</v>
      </c>
      <c r="R402" s="2" t="s">
        <v>78</v>
      </c>
    </row>
    <row r="403" spans="1:18" ht="15" customHeight="1" x14ac:dyDescent="0.25">
      <c r="A403" s="2">
        <v>402</v>
      </c>
      <c r="B403" s="2" t="s">
        <v>2073</v>
      </c>
      <c r="C403" s="2" t="s">
        <v>2067</v>
      </c>
      <c r="D403" s="2" t="s">
        <v>2074</v>
      </c>
      <c r="E403" s="2" t="s">
        <v>55</v>
      </c>
      <c r="F403" s="2" t="s">
        <v>22</v>
      </c>
      <c r="G403" s="2" t="s">
        <v>45</v>
      </c>
      <c r="H403" s="2" t="s">
        <v>179</v>
      </c>
      <c r="I403" s="2">
        <v>9349006937</v>
      </c>
      <c r="J403" s="2" t="s">
        <v>986</v>
      </c>
      <c r="K403" s="2" t="s">
        <v>2075</v>
      </c>
      <c r="L403" s="2">
        <v>6667267264</v>
      </c>
      <c r="M403" s="2" t="s">
        <v>2076</v>
      </c>
      <c r="N403" s="2" t="s">
        <v>462</v>
      </c>
      <c r="O403" s="2">
        <v>8621</v>
      </c>
      <c r="P403" s="2" t="s">
        <v>29</v>
      </c>
      <c r="Q403" s="3">
        <v>0.8</v>
      </c>
      <c r="R403" s="2" t="s">
        <v>2077</v>
      </c>
    </row>
    <row r="404" spans="1:18" ht="15" customHeight="1" x14ac:dyDescent="0.25">
      <c r="A404" s="2">
        <v>403</v>
      </c>
      <c r="B404" s="2" t="s">
        <v>2078</v>
      </c>
      <c r="C404" s="2" t="s">
        <v>2067</v>
      </c>
      <c r="D404" s="2" t="s">
        <v>2079</v>
      </c>
      <c r="E404" s="2" t="s">
        <v>33</v>
      </c>
      <c r="F404" s="2" t="s">
        <v>22</v>
      </c>
      <c r="G404" s="2" t="s">
        <v>35</v>
      </c>
      <c r="H404" s="2" t="s">
        <v>1351</v>
      </c>
      <c r="I404" s="2">
        <v>9122341268</v>
      </c>
      <c r="J404" s="2" t="s">
        <v>1352</v>
      </c>
      <c r="K404" s="2" t="s">
        <v>669</v>
      </c>
      <c r="L404" s="2">
        <v>7409249220</v>
      </c>
      <c r="M404" s="2" t="s">
        <v>670</v>
      </c>
      <c r="N404" s="2" t="s">
        <v>99</v>
      </c>
      <c r="O404" s="2">
        <v>4888</v>
      </c>
      <c r="P404" s="2" t="s">
        <v>29</v>
      </c>
      <c r="Q404" s="3">
        <v>0.73</v>
      </c>
      <c r="R404" s="2" t="s">
        <v>42</v>
      </c>
    </row>
    <row r="405" spans="1:18" ht="15" customHeight="1" x14ac:dyDescent="0.25">
      <c r="A405" s="2">
        <v>404</v>
      </c>
      <c r="B405" s="2" t="s">
        <v>2080</v>
      </c>
      <c r="C405" s="2" t="s">
        <v>2067</v>
      </c>
      <c r="D405" s="2" t="s">
        <v>2081</v>
      </c>
      <c r="E405" s="2" t="s">
        <v>33</v>
      </c>
      <c r="F405" s="2" t="s">
        <v>22</v>
      </c>
      <c r="G405" s="2" t="s">
        <v>23</v>
      </c>
      <c r="H405" s="2" t="s">
        <v>2082</v>
      </c>
      <c r="I405" s="2">
        <v>8954669136</v>
      </c>
      <c r="J405" s="2" t="s">
        <v>2083</v>
      </c>
      <c r="K405" s="2" t="s">
        <v>2084</v>
      </c>
      <c r="L405" s="2">
        <v>9958730450</v>
      </c>
      <c r="M405" s="2" t="s">
        <v>2085</v>
      </c>
      <c r="N405" s="2" t="s">
        <v>28</v>
      </c>
      <c r="O405" s="2">
        <v>10128</v>
      </c>
      <c r="P405" s="2" t="s">
        <v>29</v>
      </c>
      <c r="Q405" s="3">
        <v>0.7</v>
      </c>
      <c r="R405" s="2" t="s">
        <v>2086</v>
      </c>
    </row>
    <row r="406" spans="1:18" ht="15" customHeight="1" x14ac:dyDescent="0.25">
      <c r="A406" s="2">
        <v>405</v>
      </c>
      <c r="B406" s="2" t="s">
        <v>2087</v>
      </c>
      <c r="C406" s="2" t="s">
        <v>2067</v>
      </c>
      <c r="D406" s="2" t="s">
        <v>2088</v>
      </c>
      <c r="E406" s="2" t="s">
        <v>55</v>
      </c>
      <c r="F406" s="2" t="s">
        <v>34</v>
      </c>
      <c r="G406" s="2" t="s">
        <v>156</v>
      </c>
      <c r="H406" s="2" t="s">
        <v>2089</v>
      </c>
      <c r="I406" s="2">
        <v>6119467577</v>
      </c>
      <c r="J406" s="2" t="s">
        <v>2090</v>
      </c>
      <c r="K406" s="2" t="s">
        <v>2071</v>
      </c>
      <c r="L406" s="2">
        <v>8380040464</v>
      </c>
      <c r="M406" s="2" t="s">
        <v>2091</v>
      </c>
      <c r="N406" s="2" t="s">
        <v>289</v>
      </c>
      <c r="O406" s="2">
        <v>2615</v>
      </c>
      <c r="P406" s="2" t="s">
        <v>61</v>
      </c>
      <c r="Q406" s="3">
        <v>0.64</v>
      </c>
      <c r="R406" s="2" t="s">
        <v>2092</v>
      </c>
    </row>
    <row r="407" spans="1:18" ht="15" customHeight="1" x14ac:dyDescent="0.25">
      <c r="A407" s="2">
        <v>406</v>
      </c>
      <c r="B407" s="2" t="s">
        <v>2093</v>
      </c>
      <c r="C407" s="2" t="s">
        <v>2067</v>
      </c>
      <c r="D407" s="2" t="s">
        <v>2094</v>
      </c>
      <c r="E407" s="2" t="s">
        <v>55</v>
      </c>
      <c r="F407" s="2" t="s">
        <v>34</v>
      </c>
      <c r="G407" s="2" t="s">
        <v>35</v>
      </c>
      <c r="H407" s="2" t="s">
        <v>81</v>
      </c>
      <c r="I407" s="2">
        <v>6926883089</v>
      </c>
      <c r="J407" s="2" t="s">
        <v>1999</v>
      </c>
      <c r="K407" s="2" t="s">
        <v>2095</v>
      </c>
      <c r="L407" s="2">
        <v>8262326542</v>
      </c>
      <c r="M407" s="2" t="s">
        <v>2096</v>
      </c>
      <c r="N407" s="2" t="s">
        <v>271</v>
      </c>
      <c r="O407" s="2">
        <v>1543</v>
      </c>
      <c r="P407" s="2" t="s">
        <v>70</v>
      </c>
      <c r="Q407" s="3">
        <v>0.74</v>
      </c>
      <c r="R407" s="2" t="s">
        <v>2097</v>
      </c>
    </row>
    <row r="408" spans="1:18" ht="15" customHeight="1" x14ac:dyDescent="0.25">
      <c r="A408" s="2">
        <v>407</v>
      </c>
      <c r="B408" s="2" t="s">
        <v>2098</v>
      </c>
      <c r="C408" s="2" t="s">
        <v>2067</v>
      </c>
      <c r="D408" s="2" t="s">
        <v>2099</v>
      </c>
      <c r="E408" s="2" t="s">
        <v>55</v>
      </c>
      <c r="F408" s="2" t="s">
        <v>22</v>
      </c>
      <c r="G408" s="2" t="s">
        <v>156</v>
      </c>
      <c r="H408" s="2" t="s">
        <v>2100</v>
      </c>
      <c r="I408" s="2">
        <v>6320531781</v>
      </c>
      <c r="J408" s="2" t="s">
        <v>2101</v>
      </c>
      <c r="K408" s="2" t="s">
        <v>2102</v>
      </c>
      <c r="L408" s="2">
        <v>8268612410</v>
      </c>
      <c r="M408" s="2" t="s">
        <v>2103</v>
      </c>
      <c r="N408" s="2" t="s">
        <v>84</v>
      </c>
      <c r="O408" s="2">
        <v>7989</v>
      </c>
      <c r="P408" s="2" t="s">
        <v>41</v>
      </c>
      <c r="Q408" s="3">
        <v>0.87</v>
      </c>
      <c r="R408" s="2" t="s">
        <v>2104</v>
      </c>
    </row>
    <row r="409" spans="1:18" ht="15" customHeight="1" x14ac:dyDescent="0.25">
      <c r="A409" s="2">
        <v>408</v>
      </c>
      <c r="B409" s="2" t="s">
        <v>2105</v>
      </c>
      <c r="C409" s="2" t="s">
        <v>2067</v>
      </c>
      <c r="D409" s="2" t="s">
        <v>2106</v>
      </c>
      <c r="E409" s="2" t="s">
        <v>55</v>
      </c>
      <c r="F409" s="2" t="s">
        <v>22</v>
      </c>
      <c r="G409" s="2" t="s">
        <v>35</v>
      </c>
      <c r="H409" s="2" t="s">
        <v>1143</v>
      </c>
      <c r="I409" s="2">
        <v>9466489637</v>
      </c>
      <c r="J409" s="2" t="s">
        <v>2107</v>
      </c>
      <c r="K409" s="2" t="s">
        <v>2108</v>
      </c>
      <c r="L409" s="2">
        <v>8642264030</v>
      </c>
      <c r="M409" s="2" t="s">
        <v>996</v>
      </c>
      <c r="N409" s="2" t="s">
        <v>289</v>
      </c>
      <c r="O409" s="2">
        <v>2126</v>
      </c>
      <c r="P409" s="2" t="s">
        <v>61</v>
      </c>
      <c r="Q409" s="3">
        <v>0.83</v>
      </c>
      <c r="R409" s="2" t="s">
        <v>147</v>
      </c>
    </row>
    <row r="410" spans="1:18" ht="15" customHeight="1" x14ac:dyDescent="0.25">
      <c r="A410" s="2">
        <v>409</v>
      </c>
      <c r="B410" s="2" t="s">
        <v>2109</v>
      </c>
      <c r="C410" s="2" t="s">
        <v>2067</v>
      </c>
      <c r="D410" s="2" t="s">
        <v>2088</v>
      </c>
      <c r="E410" s="2" t="s">
        <v>21</v>
      </c>
      <c r="F410" s="2" t="s">
        <v>22</v>
      </c>
      <c r="G410" s="2" t="s">
        <v>45</v>
      </c>
      <c r="H410" s="2" t="s">
        <v>2110</v>
      </c>
      <c r="I410" s="2">
        <v>8131957698</v>
      </c>
      <c r="J410" s="2" t="s">
        <v>323</v>
      </c>
      <c r="K410" s="2" t="s">
        <v>2111</v>
      </c>
      <c r="L410" s="2">
        <v>9256319955</v>
      </c>
      <c r="M410" s="2" t="s">
        <v>2112</v>
      </c>
      <c r="N410" s="2" t="s">
        <v>60</v>
      </c>
      <c r="O410" s="2">
        <v>10812</v>
      </c>
      <c r="P410" s="2" t="s">
        <v>29</v>
      </c>
      <c r="Q410" s="3">
        <v>0.66</v>
      </c>
      <c r="R410" s="2" t="s">
        <v>2113</v>
      </c>
    </row>
    <row r="411" spans="1:18" ht="15" customHeight="1" x14ac:dyDescent="0.25">
      <c r="A411" s="2">
        <v>410</v>
      </c>
      <c r="B411" s="2" t="s">
        <v>2114</v>
      </c>
      <c r="C411" s="2" t="s">
        <v>2067</v>
      </c>
      <c r="D411" s="2" t="s">
        <v>2079</v>
      </c>
      <c r="E411" s="2" t="s">
        <v>55</v>
      </c>
      <c r="F411" s="2" t="s">
        <v>22</v>
      </c>
      <c r="G411" s="2" t="s">
        <v>156</v>
      </c>
      <c r="H411" s="2" t="s">
        <v>24</v>
      </c>
      <c r="I411" s="2">
        <v>8550225634</v>
      </c>
      <c r="J411" s="2" t="s">
        <v>2115</v>
      </c>
      <c r="K411" s="2" t="s">
        <v>2116</v>
      </c>
      <c r="L411" s="2">
        <v>9831079302</v>
      </c>
      <c r="M411" s="2" t="s">
        <v>2117</v>
      </c>
      <c r="N411" s="2" t="s">
        <v>99</v>
      </c>
      <c r="O411" s="2">
        <v>6042</v>
      </c>
      <c r="P411" s="2" t="s">
        <v>70</v>
      </c>
      <c r="Q411" s="3">
        <v>0.72</v>
      </c>
      <c r="R411" s="2" t="s">
        <v>2118</v>
      </c>
    </row>
    <row r="412" spans="1:18" ht="15" customHeight="1" x14ac:dyDescent="0.25">
      <c r="A412" s="2">
        <v>411</v>
      </c>
      <c r="B412" s="2" t="s">
        <v>2119</v>
      </c>
      <c r="C412" s="2" t="s">
        <v>2067</v>
      </c>
      <c r="D412" s="2" t="s">
        <v>2120</v>
      </c>
      <c r="E412" s="2" t="s">
        <v>33</v>
      </c>
      <c r="F412" s="2" t="s">
        <v>22</v>
      </c>
      <c r="G412" s="2" t="s">
        <v>102</v>
      </c>
      <c r="H412" s="2" t="s">
        <v>2121</v>
      </c>
      <c r="I412" s="2">
        <v>9848903745</v>
      </c>
      <c r="J412" s="2" t="s">
        <v>2122</v>
      </c>
      <c r="K412" s="2" t="s">
        <v>238</v>
      </c>
      <c r="L412" s="2">
        <v>8971696978</v>
      </c>
      <c r="M412" s="2" t="s">
        <v>2123</v>
      </c>
      <c r="N412" s="2" t="s">
        <v>60</v>
      </c>
      <c r="O412" s="2">
        <v>629</v>
      </c>
      <c r="P412" s="2" t="s">
        <v>41</v>
      </c>
      <c r="Q412" s="3">
        <v>0.67</v>
      </c>
      <c r="R412" s="2" t="s">
        <v>78</v>
      </c>
    </row>
    <row r="413" spans="1:18" ht="15" customHeight="1" x14ac:dyDescent="0.25">
      <c r="A413" s="2">
        <v>412</v>
      </c>
      <c r="B413" s="2" t="s">
        <v>2124</v>
      </c>
      <c r="C413" s="2" t="s">
        <v>2067</v>
      </c>
      <c r="D413" s="2" t="s">
        <v>2125</v>
      </c>
      <c r="E413" s="2" t="s">
        <v>21</v>
      </c>
      <c r="F413" s="2" t="s">
        <v>22</v>
      </c>
      <c r="G413" s="2" t="s">
        <v>156</v>
      </c>
      <c r="H413" s="2" t="s">
        <v>191</v>
      </c>
      <c r="I413" s="2">
        <v>8659780124</v>
      </c>
      <c r="J413" s="2" t="s">
        <v>1871</v>
      </c>
      <c r="K413" s="2" t="s">
        <v>2126</v>
      </c>
      <c r="L413" s="2">
        <v>8912872297</v>
      </c>
      <c r="M413" s="2" t="s">
        <v>2127</v>
      </c>
      <c r="N413" s="2" t="s">
        <v>271</v>
      </c>
      <c r="O413" s="2">
        <v>9305</v>
      </c>
      <c r="P413" s="2" t="s">
        <v>70</v>
      </c>
      <c r="Q413" s="3">
        <v>0.72</v>
      </c>
      <c r="R413" s="2" t="s">
        <v>2128</v>
      </c>
    </row>
    <row r="414" spans="1:18" ht="15" customHeight="1" x14ac:dyDescent="0.25">
      <c r="A414" s="2">
        <v>413</v>
      </c>
      <c r="B414" s="2" t="s">
        <v>2129</v>
      </c>
      <c r="C414" s="2" t="s">
        <v>2067</v>
      </c>
      <c r="D414" s="2" t="s">
        <v>2088</v>
      </c>
      <c r="E414" s="2" t="s">
        <v>21</v>
      </c>
      <c r="F414" s="2" t="s">
        <v>34</v>
      </c>
      <c r="G414" s="2" t="s">
        <v>35</v>
      </c>
      <c r="H414" s="2" t="s">
        <v>2130</v>
      </c>
      <c r="I414" s="2">
        <v>8232943217</v>
      </c>
      <c r="J414" s="2" t="s">
        <v>492</v>
      </c>
      <c r="K414" s="2" t="s">
        <v>2131</v>
      </c>
      <c r="L414" s="2">
        <v>6912350050</v>
      </c>
      <c r="M414" s="2" t="s">
        <v>550</v>
      </c>
      <c r="N414" s="2" t="s">
        <v>40</v>
      </c>
      <c r="O414" s="2">
        <v>4454</v>
      </c>
      <c r="P414" s="2" t="s">
        <v>41</v>
      </c>
      <c r="Q414" s="3">
        <v>0.88</v>
      </c>
      <c r="R414" s="2" t="s">
        <v>2132</v>
      </c>
    </row>
    <row r="415" spans="1:18" ht="15" customHeight="1" x14ac:dyDescent="0.25">
      <c r="A415" s="2">
        <v>414</v>
      </c>
      <c r="B415" s="2" t="s">
        <v>2133</v>
      </c>
      <c r="C415" s="2" t="s">
        <v>2067</v>
      </c>
      <c r="D415" s="2" t="s">
        <v>2074</v>
      </c>
      <c r="E415" s="2" t="s">
        <v>33</v>
      </c>
      <c r="F415" s="2" t="s">
        <v>22</v>
      </c>
      <c r="G415" s="2" t="s">
        <v>156</v>
      </c>
      <c r="H415" s="2" t="s">
        <v>2134</v>
      </c>
      <c r="I415" s="2">
        <v>7212986551</v>
      </c>
      <c r="J415" s="2" t="s">
        <v>2135</v>
      </c>
      <c r="K415" s="2" t="s">
        <v>2136</v>
      </c>
      <c r="L415" s="2">
        <v>8654535921</v>
      </c>
      <c r="M415" s="2" t="s">
        <v>2137</v>
      </c>
      <c r="N415" s="2" t="s">
        <v>84</v>
      </c>
      <c r="O415" s="2">
        <v>6053</v>
      </c>
      <c r="P415" s="2" t="s">
        <v>61</v>
      </c>
      <c r="Q415" s="3">
        <v>0.9</v>
      </c>
      <c r="R415" s="2" t="s">
        <v>2138</v>
      </c>
    </row>
    <row r="416" spans="1:18" ht="15" customHeight="1" x14ac:dyDescent="0.25">
      <c r="A416" s="2">
        <v>415</v>
      </c>
      <c r="B416" s="2" t="s">
        <v>2139</v>
      </c>
      <c r="C416" s="2" t="s">
        <v>2067</v>
      </c>
      <c r="D416" s="2" t="s">
        <v>2140</v>
      </c>
      <c r="E416" s="2" t="s">
        <v>21</v>
      </c>
      <c r="F416" s="2" t="s">
        <v>22</v>
      </c>
      <c r="G416" s="2" t="s">
        <v>102</v>
      </c>
      <c r="H416" s="2" t="s">
        <v>2141</v>
      </c>
      <c r="I416" s="2">
        <v>9183829919</v>
      </c>
      <c r="J416" s="2" t="s">
        <v>2142</v>
      </c>
      <c r="K416" s="2" t="s">
        <v>2143</v>
      </c>
      <c r="L416" s="2">
        <v>8826732562</v>
      </c>
      <c r="M416" s="2" t="s">
        <v>949</v>
      </c>
      <c r="N416" s="2" t="s">
        <v>84</v>
      </c>
      <c r="O416" s="2">
        <v>2105</v>
      </c>
      <c r="P416" s="2" t="s">
        <v>61</v>
      </c>
      <c r="Q416" s="3">
        <v>0.86</v>
      </c>
      <c r="R416" s="2" t="s">
        <v>929</v>
      </c>
    </row>
    <row r="417" spans="1:18" ht="15" customHeight="1" x14ac:dyDescent="0.25">
      <c r="A417" s="2">
        <v>416</v>
      </c>
      <c r="B417" s="2" t="s">
        <v>2144</v>
      </c>
      <c r="C417" s="2" t="s">
        <v>2067</v>
      </c>
      <c r="D417" s="2" t="s">
        <v>2099</v>
      </c>
      <c r="E417" s="2" t="s">
        <v>33</v>
      </c>
      <c r="F417" s="2" t="s">
        <v>22</v>
      </c>
      <c r="G417" s="2" t="s">
        <v>35</v>
      </c>
      <c r="H417" s="2" t="s">
        <v>2145</v>
      </c>
      <c r="I417" s="2">
        <v>7620511813</v>
      </c>
      <c r="J417" s="2" t="s">
        <v>2146</v>
      </c>
      <c r="K417" s="2" t="s">
        <v>787</v>
      </c>
      <c r="L417" s="2">
        <v>9238926282</v>
      </c>
      <c r="M417" s="2" t="s">
        <v>788</v>
      </c>
      <c r="N417" s="2" t="s">
        <v>107</v>
      </c>
      <c r="O417" s="2">
        <v>4820</v>
      </c>
      <c r="P417" s="2" t="s">
        <v>139</v>
      </c>
      <c r="Q417" s="3">
        <v>0.76</v>
      </c>
      <c r="R417" s="2" t="s">
        <v>42</v>
      </c>
    </row>
    <row r="418" spans="1:18" ht="15" customHeight="1" x14ac:dyDescent="0.25">
      <c r="A418" s="2">
        <v>417</v>
      </c>
      <c r="B418" s="2" t="s">
        <v>2147</v>
      </c>
      <c r="C418" s="2" t="s">
        <v>2067</v>
      </c>
      <c r="D418" s="2" t="s">
        <v>2099</v>
      </c>
      <c r="E418" s="2" t="s">
        <v>55</v>
      </c>
      <c r="F418" s="2" t="s">
        <v>34</v>
      </c>
      <c r="G418" s="2" t="s">
        <v>23</v>
      </c>
      <c r="H418" s="2" t="s">
        <v>2148</v>
      </c>
      <c r="I418" s="2">
        <v>8143252622</v>
      </c>
      <c r="J418" s="2" t="s">
        <v>2149</v>
      </c>
      <c r="K418" s="2" t="s">
        <v>2150</v>
      </c>
      <c r="L418" s="2">
        <v>7226424741</v>
      </c>
      <c r="M418" s="2" t="s">
        <v>2151</v>
      </c>
      <c r="N418" s="2" t="s">
        <v>84</v>
      </c>
      <c r="O418" s="2">
        <v>8255</v>
      </c>
      <c r="P418" s="2" t="s">
        <v>51</v>
      </c>
      <c r="Q418" s="3">
        <v>0.87</v>
      </c>
      <c r="R418" s="2" t="s">
        <v>2152</v>
      </c>
    </row>
    <row r="419" spans="1:18" ht="15" customHeight="1" x14ac:dyDescent="0.25">
      <c r="A419" s="2">
        <v>418</v>
      </c>
      <c r="B419" s="2" t="s">
        <v>2153</v>
      </c>
      <c r="C419" s="2" t="s">
        <v>2067</v>
      </c>
      <c r="D419" s="2" t="s">
        <v>2094</v>
      </c>
      <c r="E419" s="2" t="s">
        <v>33</v>
      </c>
      <c r="F419" s="2" t="s">
        <v>22</v>
      </c>
      <c r="G419" s="2" t="s">
        <v>102</v>
      </c>
      <c r="H419" s="2" t="s">
        <v>2154</v>
      </c>
      <c r="I419" s="2">
        <v>9102239566</v>
      </c>
      <c r="J419" s="2" t="s">
        <v>2155</v>
      </c>
      <c r="K419" s="2" t="s">
        <v>2156</v>
      </c>
      <c r="L419" s="2">
        <v>6687913699</v>
      </c>
      <c r="M419" s="2" t="s">
        <v>2157</v>
      </c>
      <c r="N419" s="2" t="s">
        <v>202</v>
      </c>
      <c r="O419" s="2">
        <v>8461</v>
      </c>
      <c r="P419" s="2" t="s">
        <v>51</v>
      </c>
      <c r="Q419" s="3">
        <v>0.89</v>
      </c>
      <c r="R419" s="2" t="s">
        <v>2158</v>
      </c>
    </row>
    <row r="420" spans="1:18" ht="15" customHeight="1" x14ac:dyDescent="0.25">
      <c r="A420" s="2">
        <v>419</v>
      </c>
      <c r="B420" s="2" t="s">
        <v>2159</v>
      </c>
      <c r="C420" s="2" t="s">
        <v>2067</v>
      </c>
      <c r="D420" s="2" t="s">
        <v>2094</v>
      </c>
      <c r="E420" s="2" t="s">
        <v>21</v>
      </c>
      <c r="F420" s="2" t="s">
        <v>22</v>
      </c>
      <c r="G420" s="2" t="s">
        <v>45</v>
      </c>
      <c r="H420" s="2" t="s">
        <v>1087</v>
      </c>
      <c r="I420" s="2">
        <v>9917846365</v>
      </c>
      <c r="J420" s="2" t="s">
        <v>1088</v>
      </c>
      <c r="K420" s="2" t="s">
        <v>1694</v>
      </c>
      <c r="L420" s="2">
        <v>9816422822</v>
      </c>
      <c r="M420" s="2" t="s">
        <v>2160</v>
      </c>
      <c r="N420" s="2" t="s">
        <v>289</v>
      </c>
      <c r="O420" s="2">
        <v>9889</v>
      </c>
      <c r="P420" s="2" t="s">
        <v>70</v>
      </c>
      <c r="Q420" s="3">
        <v>0.79</v>
      </c>
      <c r="R420" s="2" t="s">
        <v>2161</v>
      </c>
    </row>
    <row r="421" spans="1:18" ht="15" customHeight="1" x14ac:dyDescent="0.25">
      <c r="A421" s="2">
        <v>420</v>
      </c>
      <c r="B421" s="2" t="s">
        <v>2162</v>
      </c>
      <c r="C421" s="2" t="s">
        <v>2067</v>
      </c>
      <c r="D421" s="2" t="s">
        <v>2068</v>
      </c>
      <c r="E421" s="2" t="s">
        <v>21</v>
      </c>
      <c r="F421" s="2" t="s">
        <v>22</v>
      </c>
      <c r="G421" s="2" t="s">
        <v>102</v>
      </c>
      <c r="H421" s="2" t="s">
        <v>2163</v>
      </c>
      <c r="I421" s="2">
        <v>8793547595</v>
      </c>
      <c r="J421" s="2" t="s">
        <v>2164</v>
      </c>
      <c r="K421" s="2" t="s">
        <v>743</v>
      </c>
      <c r="L421" s="2">
        <v>6277827512</v>
      </c>
      <c r="M421" s="2" t="s">
        <v>744</v>
      </c>
      <c r="N421" s="2" t="s">
        <v>99</v>
      </c>
      <c r="O421" s="2">
        <v>10736</v>
      </c>
      <c r="P421" s="2" t="s">
        <v>29</v>
      </c>
      <c r="Q421" s="3">
        <v>0.82</v>
      </c>
      <c r="R421" s="2" t="s">
        <v>147</v>
      </c>
    </row>
    <row r="422" spans="1:18" ht="15" customHeight="1" x14ac:dyDescent="0.25">
      <c r="A422" s="2">
        <v>421</v>
      </c>
      <c r="B422" s="2" t="s">
        <v>2165</v>
      </c>
      <c r="C422" s="2" t="s">
        <v>2067</v>
      </c>
      <c r="D422" s="2" t="s">
        <v>2079</v>
      </c>
      <c r="E422" s="2" t="s">
        <v>55</v>
      </c>
      <c r="F422" s="2" t="s">
        <v>22</v>
      </c>
      <c r="G422" s="2" t="s">
        <v>102</v>
      </c>
      <c r="H422" s="2" t="s">
        <v>1926</v>
      </c>
      <c r="I422" s="2">
        <v>7120372732</v>
      </c>
      <c r="J422" s="2" t="s">
        <v>2166</v>
      </c>
      <c r="K422" s="2" t="s">
        <v>2167</v>
      </c>
      <c r="L422" s="2">
        <v>8944773947</v>
      </c>
      <c r="M422" s="2" t="s">
        <v>2168</v>
      </c>
      <c r="N422" s="2" t="s">
        <v>50</v>
      </c>
      <c r="O422" s="2">
        <v>11049</v>
      </c>
      <c r="P422" s="2" t="s">
        <v>139</v>
      </c>
      <c r="Q422" s="3">
        <v>0.59</v>
      </c>
      <c r="R422" s="2" t="s">
        <v>2169</v>
      </c>
    </row>
    <row r="423" spans="1:18" ht="15" customHeight="1" x14ac:dyDescent="0.25">
      <c r="A423" s="2">
        <v>422</v>
      </c>
      <c r="B423" s="2" t="s">
        <v>2170</v>
      </c>
      <c r="C423" s="2" t="s">
        <v>2067</v>
      </c>
      <c r="D423" s="2" t="s">
        <v>2081</v>
      </c>
      <c r="E423" s="2" t="s">
        <v>21</v>
      </c>
      <c r="F423" s="2" t="s">
        <v>22</v>
      </c>
      <c r="G423" s="2" t="s">
        <v>35</v>
      </c>
      <c r="H423" s="2" t="s">
        <v>1605</v>
      </c>
      <c r="I423" s="2">
        <v>7545534593</v>
      </c>
      <c r="J423" s="2" t="s">
        <v>889</v>
      </c>
      <c r="K423" s="2" t="s">
        <v>2171</v>
      </c>
      <c r="L423" s="2">
        <v>6666830194</v>
      </c>
      <c r="M423" s="2" t="s">
        <v>1557</v>
      </c>
      <c r="N423" s="2" t="s">
        <v>84</v>
      </c>
      <c r="O423" s="2">
        <v>1886</v>
      </c>
      <c r="P423" s="2" t="s">
        <v>41</v>
      </c>
      <c r="Q423" s="3">
        <v>0.78</v>
      </c>
      <c r="R423" s="2" t="s">
        <v>2172</v>
      </c>
    </row>
    <row r="424" spans="1:18" ht="15" customHeight="1" x14ac:dyDescent="0.25">
      <c r="A424" s="2">
        <v>423</v>
      </c>
      <c r="B424" s="2" t="s">
        <v>2173</v>
      </c>
      <c r="C424" s="2" t="s">
        <v>2067</v>
      </c>
      <c r="D424" s="2" t="s">
        <v>2174</v>
      </c>
      <c r="E424" s="2" t="s">
        <v>33</v>
      </c>
      <c r="F424" s="2" t="s">
        <v>34</v>
      </c>
      <c r="G424" s="2" t="s">
        <v>156</v>
      </c>
      <c r="H424" s="2" t="s">
        <v>2175</v>
      </c>
      <c r="I424" s="2">
        <v>8294838874</v>
      </c>
      <c r="J424" s="2" t="s">
        <v>2176</v>
      </c>
      <c r="K424" s="2" t="s">
        <v>2177</v>
      </c>
      <c r="L424" s="2">
        <v>6865900715</v>
      </c>
      <c r="M424" s="2" t="s">
        <v>398</v>
      </c>
      <c r="N424" s="2" t="s">
        <v>50</v>
      </c>
      <c r="O424" s="2">
        <v>9376</v>
      </c>
      <c r="P424" s="2" t="s">
        <v>61</v>
      </c>
      <c r="Q424" s="3">
        <v>0.67</v>
      </c>
      <c r="R424" s="2" t="s">
        <v>2178</v>
      </c>
    </row>
    <row r="425" spans="1:18" ht="15" customHeight="1" x14ac:dyDescent="0.25">
      <c r="A425" s="2">
        <v>424</v>
      </c>
      <c r="B425" s="2" t="s">
        <v>2179</v>
      </c>
      <c r="C425" s="2" t="s">
        <v>2067</v>
      </c>
      <c r="D425" s="2" t="s">
        <v>2180</v>
      </c>
      <c r="E425" s="2" t="s">
        <v>33</v>
      </c>
      <c r="F425" s="2" t="s">
        <v>22</v>
      </c>
      <c r="G425" s="2" t="s">
        <v>102</v>
      </c>
      <c r="H425" s="2" t="s">
        <v>2181</v>
      </c>
      <c r="I425" s="2">
        <v>9223567680</v>
      </c>
      <c r="J425" s="2" t="s">
        <v>2182</v>
      </c>
      <c r="K425" s="2" t="s">
        <v>2183</v>
      </c>
      <c r="L425" s="2">
        <v>8165103088</v>
      </c>
      <c r="M425" s="2" t="s">
        <v>380</v>
      </c>
      <c r="N425" s="2" t="s">
        <v>161</v>
      </c>
      <c r="O425" s="2">
        <v>7263</v>
      </c>
      <c r="P425" s="2" t="s">
        <v>70</v>
      </c>
      <c r="Q425" s="3">
        <v>0.66</v>
      </c>
      <c r="R425" s="2" t="s">
        <v>1625</v>
      </c>
    </row>
    <row r="426" spans="1:18" ht="15" customHeight="1" x14ac:dyDescent="0.25">
      <c r="A426" s="2">
        <v>425</v>
      </c>
      <c r="B426" s="2" t="s">
        <v>2184</v>
      </c>
      <c r="C426" s="2" t="s">
        <v>2067</v>
      </c>
      <c r="D426" s="2" t="s">
        <v>2174</v>
      </c>
      <c r="E426" s="2" t="s">
        <v>33</v>
      </c>
      <c r="F426" s="2" t="s">
        <v>22</v>
      </c>
      <c r="G426" s="2" t="s">
        <v>156</v>
      </c>
      <c r="H426" s="2" t="s">
        <v>910</v>
      </c>
      <c r="I426" s="2">
        <v>7427075547</v>
      </c>
      <c r="J426" s="2" t="s">
        <v>1515</v>
      </c>
      <c r="K426" s="2" t="s">
        <v>2185</v>
      </c>
      <c r="L426" s="2">
        <v>9578869802</v>
      </c>
      <c r="M426" s="2" t="s">
        <v>414</v>
      </c>
      <c r="N426" s="2" t="s">
        <v>289</v>
      </c>
      <c r="O426" s="2">
        <v>973</v>
      </c>
      <c r="P426" s="2" t="s">
        <v>77</v>
      </c>
      <c r="Q426" s="3">
        <v>0.82</v>
      </c>
      <c r="R426" s="2" t="s">
        <v>1708</v>
      </c>
    </row>
    <row r="427" spans="1:18" ht="15" customHeight="1" x14ac:dyDescent="0.25">
      <c r="A427" s="2">
        <v>426</v>
      </c>
      <c r="B427" s="2" t="s">
        <v>2186</v>
      </c>
      <c r="C427" s="2" t="s">
        <v>2067</v>
      </c>
      <c r="D427" s="2" t="s">
        <v>2187</v>
      </c>
      <c r="E427" s="2" t="s">
        <v>55</v>
      </c>
      <c r="F427" s="2" t="s">
        <v>22</v>
      </c>
      <c r="G427" s="2" t="s">
        <v>23</v>
      </c>
      <c r="H427" s="2" t="s">
        <v>2188</v>
      </c>
      <c r="I427" s="2">
        <v>6617743557</v>
      </c>
      <c r="J427" s="2" t="s">
        <v>2189</v>
      </c>
      <c r="K427" s="2" t="s">
        <v>2190</v>
      </c>
      <c r="L427" s="2">
        <v>8741955612</v>
      </c>
      <c r="M427" s="2" t="s">
        <v>2191</v>
      </c>
      <c r="N427" s="2" t="s">
        <v>60</v>
      </c>
      <c r="O427" s="2">
        <v>9354</v>
      </c>
      <c r="P427" s="2" t="s">
        <v>61</v>
      </c>
      <c r="Q427" s="3">
        <v>0.89</v>
      </c>
      <c r="R427" s="2" t="s">
        <v>2104</v>
      </c>
    </row>
    <row r="428" spans="1:18" ht="15" customHeight="1" x14ac:dyDescent="0.25">
      <c r="A428" s="2">
        <v>427</v>
      </c>
      <c r="B428" s="2" t="s">
        <v>2192</v>
      </c>
      <c r="C428" s="2" t="s">
        <v>2067</v>
      </c>
      <c r="D428" s="2" t="s">
        <v>2193</v>
      </c>
      <c r="E428" s="2" t="s">
        <v>55</v>
      </c>
      <c r="F428" s="2" t="s">
        <v>22</v>
      </c>
      <c r="G428" s="2" t="s">
        <v>102</v>
      </c>
      <c r="H428" s="2" t="s">
        <v>56</v>
      </c>
      <c r="I428" s="2">
        <v>6991740555</v>
      </c>
      <c r="J428" s="2" t="s">
        <v>57</v>
      </c>
      <c r="K428" s="2" t="s">
        <v>2194</v>
      </c>
      <c r="L428" s="2">
        <v>7878542046</v>
      </c>
      <c r="M428" s="2" t="s">
        <v>2195</v>
      </c>
      <c r="N428" s="2" t="s">
        <v>195</v>
      </c>
      <c r="O428" s="2">
        <v>10087</v>
      </c>
      <c r="P428" s="2" t="s">
        <v>41</v>
      </c>
      <c r="Q428" s="3">
        <v>0.77</v>
      </c>
      <c r="R428" s="2" t="s">
        <v>2196</v>
      </c>
    </row>
    <row r="429" spans="1:18" ht="15" customHeight="1" x14ac:dyDescent="0.25">
      <c r="A429" s="2">
        <v>428</v>
      </c>
      <c r="B429" s="2" t="s">
        <v>2197</v>
      </c>
      <c r="C429" s="2" t="s">
        <v>2067</v>
      </c>
      <c r="D429" s="2" t="s">
        <v>2120</v>
      </c>
      <c r="E429" s="2" t="s">
        <v>33</v>
      </c>
      <c r="F429" s="2" t="s">
        <v>22</v>
      </c>
      <c r="G429" s="2" t="s">
        <v>23</v>
      </c>
      <c r="H429" s="2" t="s">
        <v>2198</v>
      </c>
      <c r="I429" s="2">
        <v>8117045236</v>
      </c>
      <c r="J429" s="2" t="s">
        <v>2199</v>
      </c>
      <c r="K429" s="2" t="s">
        <v>2200</v>
      </c>
      <c r="L429" s="2">
        <v>7794113197</v>
      </c>
      <c r="M429" s="2" t="s">
        <v>2201</v>
      </c>
      <c r="N429" s="2" t="s">
        <v>146</v>
      </c>
      <c r="O429" s="2">
        <v>11675</v>
      </c>
      <c r="P429" s="2" t="s">
        <v>70</v>
      </c>
      <c r="Q429" s="3">
        <v>0.82</v>
      </c>
      <c r="R429" s="2" t="s">
        <v>2202</v>
      </c>
    </row>
    <row r="430" spans="1:18" ht="15" customHeight="1" x14ac:dyDescent="0.25">
      <c r="A430" s="2">
        <v>429</v>
      </c>
      <c r="B430" s="2" t="s">
        <v>2203</v>
      </c>
      <c r="C430" s="2" t="s">
        <v>2067</v>
      </c>
      <c r="D430" s="2" t="s">
        <v>2079</v>
      </c>
      <c r="E430" s="2" t="s">
        <v>55</v>
      </c>
      <c r="F430" s="2" t="s">
        <v>22</v>
      </c>
      <c r="G430" s="2" t="s">
        <v>156</v>
      </c>
      <c r="H430" s="2" t="s">
        <v>2204</v>
      </c>
      <c r="I430" s="2">
        <v>9821818558</v>
      </c>
      <c r="J430" s="2" t="s">
        <v>2205</v>
      </c>
      <c r="K430" s="2" t="s">
        <v>1712</v>
      </c>
      <c r="L430" s="2">
        <v>6479025201</v>
      </c>
      <c r="M430" s="2" t="s">
        <v>1773</v>
      </c>
      <c r="N430" s="2" t="s">
        <v>138</v>
      </c>
      <c r="O430" s="2">
        <v>7269</v>
      </c>
      <c r="P430" s="2" t="s">
        <v>139</v>
      </c>
      <c r="Q430" s="3">
        <v>0.93</v>
      </c>
      <c r="R430" s="2" t="s">
        <v>2206</v>
      </c>
    </row>
    <row r="431" spans="1:18" ht="15" customHeight="1" x14ac:dyDescent="0.25">
      <c r="A431" s="2">
        <v>430</v>
      </c>
      <c r="B431" s="2" t="s">
        <v>2207</v>
      </c>
      <c r="C431" s="2" t="s">
        <v>2067</v>
      </c>
      <c r="D431" s="2" t="s">
        <v>2125</v>
      </c>
      <c r="E431" s="2" t="s">
        <v>55</v>
      </c>
      <c r="F431" s="2" t="s">
        <v>22</v>
      </c>
      <c r="G431" s="2" t="s">
        <v>23</v>
      </c>
      <c r="H431" s="2" t="s">
        <v>1464</v>
      </c>
      <c r="I431" s="2">
        <v>8305634099</v>
      </c>
      <c r="J431" s="2" t="s">
        <v>1387</v>
      </c>
      <c r="K431" s="2" t="s">
        <v>2208</v>
      </c>
      <c r="L431" s="2">
        <v>6976474860</v>
      </c>
      <c r="M431" s="2" t="s">
        <v>2209</v>
      </c>
      <c r="N431" s="2" t="s">
        <v>215</v>
      </c>
      <c r="O431" s="2">
        <v>2544</v>
      </c>
      <c r="P431" s="2" t="s">
        <v>77</v>
      </c>
      <c r="Q431" s="3">
        <v>0.71</v>
      </c>
      <c r="R431" s="2" t="s">
        <v>368</v>
      </c>
    </row>
    <row r="432" spans="1:18" ht="15" customHeight="1" x14ac:dyDescent="0.25">
      <c r="A432" s="2">
        <v>431</v>
      </c>
      <c r="B432" s="2" t="s">
        <v>2210</v>
      </c>
      <c r="C432" s="2" t="s">
        <v>2067</v>
      </c>
      <c r="D432" s="2" t="s">
        <v>2211</v>
      </c>
      <c r="E432" s="2" t="s">
        <v>55</v>
      </c>
      <c r="F432" s="2" t="s">
        <v>22</v>
      </c>
      <c r="G432" s="2" t="s">
        <v>23</v>
      </c>
      <c r="H432" s="2" t="s">
        <v>2212</v>
      </c>
      <c r="I432" s="2">
        <v>9283048386</v>
      </c>
      <c r="J432" s="2" t="s">
        <v>2213</v>
      </c>
      <c r="K432" s="2" t="s">
        <v>2214</v>
      </c>
      <c r="L432" s="2">
        <v>7808496105</v>
      </c>
      <c r="M432" s="2" t="s">
        <v>2215</v>
      </c>
      <c r="N432" s="2" t="s">
        <v>28</v>
      </c>
      <c r="O432" s="2">
        <v>8590</v>
      </c>
      <c r="P432" s="2" t="s">
        <v>70</v>
      </c>
      <c r="Q432" s="3">
        <v>0.56999999999999995</v>
      </c>
      <c r="R432" s="2" t="s">
        <v>2216</v>
      </c>
    </row>
    <row r="433" spans="1:18" ht="15" customHeight="1" x14ac:dyDescent="0.25">
      <c r="A433" s="2">
        <v>432</v>
      </c>
      <c r="B433" s="2" t="s">
        <v>2217</v>
      </c>
      <c r="C433" s="2" t="s">
        <v>2067</v>
      </c>
      <c r="D433" s="2" t="s">
        <v>2140</v>
      </c>
      <c r="E433" s="2" t="s">
        <v>55</v>
      </c>
      <c r="F433" s="2" t="s">
        <v>22</v>
      </c>
      <c r="G433" s="2" t="s">
        <v>35</v>
      </c>
      <c r="H433" s="2" t="s">
        <v>2218</v>
      </c>
      <c r="I433" s="2">
        <v>6844087852</v>
      </c>
      <c r="J433" s="2" t="s">
        <v>2219</v>
      </c>
      <c r="K433" s="2" t="s">
        <v>2220</v>
      </c>
      <c r="L433" s="2">
        <v>8830874965</v>
      </c>
      <c r="M433" s="2" t="s">
        <v>2221</v>
      </c>
      <c r="N433" s="2" t="s">
        <v>138</v>
      </c>
      <c r="O433" s="2">
        <v>1570</v>
      </c>
      <c r="P433" s="2" t="s">
        <v>139</v>
      </c>
      <c r="Q433" s="3">
        <v>0.61</v>
      </c>
      <c r="R433" s="2" t="s">
        <v>2222</v>
      </c>
    </row>
    <row r="434" spans="1:18" ht="15" customHeight="1" x14ac:dyDescent="0.25">
      <c r="A434" s="2">
        <v>433</v>
      </c>
      <c r="B434" s="2" t="s">
        <v>2223</v>
      </c>
      <c r="C434" s="2" t="s">
        <v>2067</v>
      </c>
      <c r="D434" s="2" t="s">
        <v>2120</v>
      </c>
      <c r="E434" s="2" t="s">
        <v>33</v>
      </c>
      <c r="F434" s="2" t="s">
        <v>34</v>
      </c>
      <c r="G434" s="2" t="s">
        <v>45</v>
      </c>
      <c r="H434" s="2" t="s">
        <v>558</v>
      </c>
      <c r="I434" s="2">
        <v>6874404381</v>
      </c>
      <c r="J434" s="2" t="s">
        <v>2224</v>
      </c>
      <c r="K434" s="2" t="s">
        <v>616</v>
      </c>
      <c r="L434" s="2">
        <v>7150427906</v>
      </c>
      <c r="M434" s="2" t="s">
        <v>617</v>
      </c>
      <c r="N434" s="2" t="s">
        <v>271</v>
      </c>
      <c r="O434" s="2">
        <v>5792</v>
      </c>
      <c r="P434" s="2" t="s">
        <v>77</v>
      </c>
      <c r="Q434" s="3">
        <v>0.91</v>
      </c>
      <c r="R434" s="2" t="s">
        <v>2225</v>
      </c>
    </row>
    <row r="435" spans="1:18" ht="15" customHeight="1" x14ac:dyDescent="0.25">
      <c r="A435" s="2">
        <v>434</v>
      </c>
      <c r="B435" s="2" t="s">
        <v>2226</v>
      </c>
      <c r="C435" s="2" t="s">
        <v>2067</v>
      </c>
      <c r="D435" s="2" t="s">
        <v>2193</v>
      </c>
      <c r="E435" s="2" t="s">
        <v>33</v>
      </c>
      <c r="F435" s="2" t="s">
        <v>22</v>
      </c>
      <c r="G435" s="2" t="s">
        <v>102</v>
      </c>
      <c r="H435" s="2" t="s">
        <v>2227</v>
      </c>
      <c r="I435" s="2">
        <v>8167478361</v>
      </c>
      <c r="J435" s="2" t="s">
        <v>2228</v>
      </c>
      <c r="K435" s="2" t="s">
        <v>1923</v>
      </c>
      <c r="L435" s="2">
        <v>6129928143</v>
      </c>
      <c r="M435" s="2" t="s">
        <v>615</v>
      </c>
      <c r="N435" s="2" t="s">
        <v>215</v>
      </c>
      <c r="O435" s="2">
        <v>6920</v>
      </c>
      <c r="P435" s="2" t="s">
        <v>61</v>
      </c>
      <c r="Q435" s="3">
        <v>0.69</v>
      </c>
      <c r="R435" s="2" t="s">
        <v>2229</v>
      </c>
    </row>
    <row r="436" spans="1:18" ht="15" customHeight="1" x14ac:dyDescent="0.25">
      <c r="A436" s="2">
        <v>435</v>
      </c>
      <c r="B436" s="2" t="s">
        <v>2230</v>
      </c>
      <c r="C436" s="2" t="s">
        <v>2067</v>
      </c>
      <c r="D436" s="2" t="s">
        <v>2231</v>
      </c>
      <c r="E436" s="2" t="s">
        <v>33</v>
      </c>
      <c r="F436" s="2" t="s">
        <v>22</v>
      </c>
      <c r="G436" s="2" t="s">
        <v>35</v>
      </c>
      <c r="H436" s="2" t="s">
        <v>2232</v>
      </c>
      <c r="I436" s="2">
        <v>9920444599</v>
      </c>
      <c r="J436" s="2" t="s">
        <v>2233</v>
      </c>
      <c r="K436" s="2" t="s">
        <v>2234</v>
      </c>
      <c r="L436" s="2">
        <v>6771463117</v>
      </c>
      <c r="M436" s="2" t="s">
        <v>1847</v>
      </c>
      <c r="N436" s="2" t="s">
        <v>146</v>
      </c>
      <c r="O436" s="2">
        <v>4602</v>
      </c>
      <c r="P436" s="2" t="s">
        <v>61</v>
      </c>
      <c r="Q436" s="3">
        <v>0.6</v>
      </c>
      <c r="R436" s="2" t="s">
        <v>62</v>
      </c>
    </row>
    <row r="437" spans="1:18" ht="15" customHeight="1" x14ac:dyDescent="0.25">
      <c r="A437" s="2">
        <v>436</v>
      </c>
      <c r="B437" s="2" t="s">
        <v>2235</v>
      </c>
      <c r="C437" s="2" t="s">
        <v>2067</v>
      </c>
      <c r="D437" s="2" t="s">
        <v>2068</v>
      </c>
      <c r="E437" s="2" t="s">
        <v>55</v>
      </c>
      <c r="F437" s="2" t="s">
        <v>34</v>
      </c>
      <c r="G437" s="2" t="s">
        <v>156</v>
      </c>
      <c r="H437" s="2" t="s">
        <v>2236</v>
      </c>
      <c r="I437" s="2">
        <v>9170641753</v>
      </c>
      <c r="J437" s="2" t="s">
        <v>2237</v>
      </c>
      <c r="K437" s="2" t="s">
        <v>2238</v>
      </c>
      <c r="L437" s="2">
        <v>6827529296</v>
      </c>
      <c r="M437" s="2" t="s">
        <v>2239</v>
      </c>
      <c r="N437" s="2" t="s">
        <v>271</v>
      </c>
      <c r="O437" s="2">
        <v>6683</v>
      </c>
      <c r="P437" s="2" t="s">
        <v>70</v>
      </c>
      <c r="Q437" s="3">
        <v>0.93</v>
      </c>
      <c r="R437" s="2" t="s">
        <v>2240</v>
      </c>
    </row>
    <row r="438" spans="1:18" ht="15" customHeight="1" x14ac:dyDescent="0.25">
      <c r="A438" s="2">
        <v>437</v>
      </c>
      <c r="B438" s="2" t="s">
        <v>2241</v>
      </c>
      <c r="C438" s="2" t="s">
        <v>2067</v>
      </c>
      <c r="D438" s="2" t="s">
        <v>2180</v>
      </c>
      <c r="E438" s="2" t="s">
        <v>55</v>
      </c>
      <c r="F438" s="2" t="s">
        <v>34</v>
      </c>
      <c r="G438" s="2" t="s">
        <v>45</v>
      </c>
      <c r="H438" s="2" t="s">
        <v>2242</v>
      </c>
      <c r="I438" s="2">
        <v>6464660414</v>
      </c>
      <c r="J438" s="2" t="s">
        <v>2243</v>
      </c>
      <c r="K438" s="2" t="s">
        <v>2244</v>
      </c>
      <c r="L438" s="2">
        <v>6587561211</v>
      </c>
      <c r="M438" s="2" t="s">
        <v>2245</v>
      </c>
      <c r="N438" s="2" t="s">
        <v>107</v>
      </c>
      <c r="O438" s="2">
        <v>2070</v>
      </c>
      <c r="P438" s="2" t="s">
        <v>139</v>
      </c>
      <c r="Q438" s="3">
        <v>0.87</v>
      </c>
      <c r="R438" s="2" t="s">
        <v>2246</v>
      </c>
    </row>
    <row r="439" spans="1:18" ht="15" customHeight="1" x14ac:dyDescent="0.25">
      <c r="A439" s="2">
        <v>438</v>
      </c>
      <c r="B439" s="2" t="s">
        <v>2247</v>
      </c>
      <c r="C439" s="2" t="s">
        <v>2067</v>
      </c>
      <c r="D439" s="2" t="s">
        <v>2099</v>
      </c>
      <c r="E439" s="2" t="s">
        <v>33</v>
      </c>
      <c r="F439" s="2" t="s">
        <v>22</v>
      </c>
      <c r="G439" s="2" t="s">
        <v>156</v>
      </c>
      <c r="H439" s="2" t="s">
        <v>2248</v>
      </c>
      <c r="I439" s="2">
        <v>9299633740</v>
      </c>
      <c r="J439" s="2" t="s">
        <v>2249</v>
      </c>
      <c r="K439" s="2" t="s">
        <v>2250</v>
      </c>
      <c r="L439" s="2">
        <v>7247824939</v>
      </c>
      <c r="M439" s="2" t="s">
        <v>2251</v>
      </c>
      <c r="N439" s="2" t="s">
        <v>50</v>
      </c>
      <c r="O439" s="2">
        <v>701</v>
      </c>
      <c r="P439" s="2" t="s">
        <v>139</v>
      </c>
      <c r="Q439" s="3">
        <v>0.86</v>
      </c>
      <c r="R439" s="2" t="s">
        <v>2252</v>
      </c>
    </row>
    <row r="440" spans="1:18" ht="15" customHeight="1" x14ac:dyDescent="0.25">
      <c r="A440" s="2">
        <v>439</v>
      </c>
      <c r="B440" s="2" t="s">
        <v>2253</v>
      </c>
      <c r="C440" s="2" t="s">
        <v>2067</v>
      </c>
      <c r="D440" s="2" t="s">
        <v>2180</v>
      </c>
      <c r="E440" s="2" t="s">
        <v>21</v>
      </c>
      <c r="F440" s="2" t="s">
        <v>34</v>
      </c>
      <c r="G440" s="2" t="s">
        <v>35</v>
      </c>
      <c r="H440" s="2" t="s">
        <v>2254</v>
      </c>
      <c r="I440" s="2">
        <v>8496028184</v>
      </c>
      <c r="J440" s="2" t="s">
        <v>96</v>
      </c>
      <c r="K440" s="2" t="s">
        <v>2255</v>
      </c>
      <c r="L440" s="2">
        <v>6655855297</v>
      </c>
      <c r="M440" s="2" t="s">
        <v>1552</v>
      </c>
      <c r="N440" s="2" t="s">
        <v>462</v>
      </c>
      <c r="O440" s="2">
        <v>8907</v>
      </c>
      <c r="P440" s="2" t="s">
        <v>29</v>
      </c>
      <c r="Q440" s="3">
        <v>0.87</v>
      </c>
      <c r="R440" s="2" t="s">
        <v>2256</v>
      </c>
    </row>
    <row r="441" spans="1:18" ht="15" customHeight="1" x14ac:dyDescent="0.25">
      <c r="A441" s="2">
        <v>440</v>
      </c>
      <c r="B441" s="2" t="s">
        <v>2257</v>
      </c>
      <c r="C441" s="2" t="s">
        <v>2067</v>
      </c>
      <c r="D441" s="2" t="s">
        <v>2180</v>
      </c>
      <c r="E441" s="2" t="s">
        <v>21</v>
      </c>
      <c r="F441" s="2" t="s">
        <v>22</v>
      </c>
      <c r="G441" s="2" t="s">
        <v>35</v>
      </c>
      <c r="H441" s="2" t="s">
        <v>2258</v>
      </c>
      <c r="I441" s="2">
        <v>8721063811</v>
      </c>
      <c r="J441" s="2" t="s">
        <v>2010</v>
      </c>
      <c r="K441" s="2" t="s">
        <v>2259</v>
      </c>
      <c r="L441" s="2">
        <v>8761535711</v>
      </c>
      <c r="M441" s="2" t="s">
        <v>1446</v>
      </c>
      <c r="N441" s="2" t="s">
        <v>271</v>
      </c>
      <c r="O441" s="2">
        <v>7415</v>
      </c>
      <c r="P441" s="2" t="s">
        <v>70</v>
      </c>
      <c r="Q441" s="3">
        <v>0.63</v>
      </c>
      <c r="R441" s="2" t="s">
        <v>2252</v>
      </c>
    </row>
    <row r="442" spans="1:18" ht="15" customHeight="1" x14ac:dyDescent="0.25">
      <c r="A442" s="2">
        <v>441</v>
      </c>
      <c r="B442" s="2" t="s">
        <v>2260</v>
      </c>
      <c r="C442" s="2" t="s">
        <v>2067</v>
      </c>
      <c r="D442" s="2" t="s">
        <v>2174</v>
      </c>
      <c r="E442" s="2" t="s">
        <v>21</v>
      </c>
      <c r="F442" s="2" t="s">
        <v>34</v>
      </c>
      <c r="G442" s="2" t="s">
        <v>156</v>
      </c>
      <c r="H442" s="2" t="s">
        <v>2261</v>
      </c>
      <c r="I442" s="2">
        <v>9320456760</v>
      </c>
      <c r="J442" s="2" t="s">
        <v>2262</v>
      </c>
      <c r="K442" s="2" t="s">
        <v>2263</v>
      </c>
      <c r="L442" s="2">
        <v>9297831034</v>
      </c>
      <c r="M442" s="2" t="s">
        <v>2264</v>
      </c>
      <c r="N442" s="2" t="s">
        <v>289</v>
      </c>
      <c r="O442" s="2">
        <v>4094</v>
      </c>
      <c r="P442" s="2" t="s">
        <v>51</v>
      </c>
      <c r="Q442" s="3">
        <v>0.82</v>
      </c>
      <c r="R442" s="2" t="s">
        <v>147</v>
      </c>
    </row>
    <row r="443" spans="1:18" ht="15" customHeight="1" x14ac:dyDescent="0.25">
      <c r="A443" s="2">
        <v>442</v>
      </c>
      <c r="B443" s="2" t="s">
        <v>2265</v>
      </c>
      <c r="C443" s="2" t="s">
        <v>2067</v>
      </c>
      <c r="D443" s="2" t="s">
        <v>2079</v>
      </c>
      <c r="E443" s="2" t="s">
        <v>21</v>
      </c>
      <c r="F443" s="2" t="s">
        <v>22</v>
      </c>
      <c r="G443" s="2" t="s">
        <v>35</v>
      </c>
      <c r="H443" s="2" t="s">
        <v>686</v>
      </c>
      <c r="I443" s="2">
        <v>8871845007</v>
      </c>
      <c r="J443" s="2" t="s">
        <v>2266</v>
      </c>
      <c r="K443" s="2" t="s">
        <v>1928</v>
      </c>
      <c r="L443" s="2">
        <v>7464876250</v>
      </c>
      <c r="M443" s="2" t="s">
        <v>2191</v>
      </c>
      <c r="N443" s="2" t="s">
        <v>50</v>
      </c>
      <c r="O443" s="2">
        <v>2833</v>
      </c>
      <c r="P443" s="2" t="s">
        <v>70</v>
      </c>
      <c r="Q443" s="3">
        <v>0.74</v>
      </c>
      <c r="R443" s="2" t="s">
        <v>78</v>
      </c>
    </row>
    <row r="444" spans="1:18" ht="15" customHeight="1" x14ac:dyDescent="0.25">
      <c r="A444" s="2">
        <v>443</v>
      </c>
      <c r="B444" s="2" t="s">
        <v>2267</v>
      </c>
      <c r="C444" s="2" t="s">
        <v>2067</v>
      </c>
      <c r="D444" s="2" t="s">
        <v>2088</v>
      </c>
      <c r="E444" s="2" t="s">
        <v>21</v>
      </c>
      <c r="F444" s="2" t="s">
        <v>34</v>
      </c>
      <c r="G444" s="2" t="s">
        <v>102</v>
      </c>
      <c r="H444" s="2" t="s">
        <v>2268</v>
      </c>
      <c r="I444" s="2">
        <v>8809645329</v>
      </c>
      <c r="J444" s="2" t="s">
        <v>2269</v>
      </c>
      <c r="K444" s="2" t="s">
        <v>2270</v>
      </c>
      <c r="L444" s="2">
        <v>7665783275</v>
      </c>
      <c r="M444" s="2" t="s">
        <v>2271</v>
      </c>
      <c r="N444" s="2" t="s">
        <v>50</v>
      </c>
      <c r="O444" s="2">
        <v>843</v>
      </c>
      <c r="P444" s="2" t="s">
        <v>41</v>
      </c>
      <c r="Q444" s="3">
        <v>0.84</v>
      </c>
      <c r="R444" s="2" t="s">
        <v>2240</v>
      </c>
    </row>
    <row r="445" spans="1:18" ht="15" customHeight="1" x14ac:dyDescent="0.25">
      <c r="A445" s="2">
        <v>444</v>
      </c>
      <c r="B445" s="2" t="s">
        <v>2272</v>
      </c>
      <c r="C445" s="2" t="s">
        <v>2067</v>
      </c>
      <c r="D445" s="2" t="s">
        <v>2074</v>
      </c>
      <c r="E445" s="2" t="s">
        <v>21</v>
      </c>
      <c r="F445" s="2" t="s">
        <v>22</v>
      </c>
      <c r="G445" s="2" t="s">
        <v>23</v>
      </c>
      <c r="H445" s="2" t="s">
        <v>2273</v>
      </c>
      <c r="I445" s="2">
        <v>7674954759</v>
      </c>
      <c r="J445" s="2" t="s">
        <v>1985</v>
      </c>
      <c r="K445" s="2" t="s">
        <v>2274</v>
      </c>
      <c r="L445" s="2">
        <v>8947813439</v>
      </c>
      <c r="M445" s="2" t="s">
        <v>675</v>
      </c>
      <c r="N445" s="2" t="s">
        <v>195</v>
      </c>
      <c r="O445" s="2">
        <v>3640</v>
      </c>
      <c r="P445" s="2" t="s">
        <v>139</v>
      </c>
      <c r="Q445" s="3">
        <v>0.71</v>
      </c>
      <c r="R445" s="2" t="s">
        <v>2202</v>
      </c>
    </row>
    <row r="446" spans="1:18" ht="15" customHeight="1" x14ac:dyDescent="0.25">
      <c r="A446" s="2">
        <v>445</v>
      </c>
      <c r="B446" s="2" t="s">
        <v>2275</v>
      </c>
      <c r="C446" s="2" t="s">
        <v>2067</v>
      </c>
      <c r="D446" s="2" t="s">
        <v>2276</v>
      </c>
      <c r="E446" s="2" t="s">
        <v>21</v>
      </c>
      <c r="F446" s="2" t="s">
        <v>22</v>
      </c>
      <c r="G446" s="2" t="s">
        <v>102</v>
      </c>
      <c r="H446" s="2" t="s">
        <v>2277</v>
      </c>
      <c r="I446" s="2">
        <v>9906710856</v>
      </c>
      <c r="J446" s="2" t="s">
        <v>1367</v>
      </c>
      <c r="K446" s="2" t="s">
        <v>316</v>
      </c>
      <c r="L446" s="2">
        <v>8635354547</v>
      </c>
      <c r="M446" s="2" t="s">
        <v>2278</v>
      </c>
      <c r="N446" s="2" t="s">
        <v>161</v>
      </c>
      <c r="O446" s="2">
        <v>8827</v>
      </c>
      <c r="P446" s="2" t="s">
        <v>139</v>
      </c>
      <c r="Q446" s="3">
        <v>0.93</v>
      </c>
      <c r="R446" s="2" t="s">
        <v>2118</v>
      </c>
    </row>
    <row r="447" spans="1:18" ht="15" customHeight="1" x14ac:dyDescent="0.25">
      <c r="A447" s="2">
        <v>446</v>
      </c>
      <c r="B447" s="2" t="s">
        <v>2279</v>
      </c>
      <c r="C447" s="2" t="s">
        <v>2067</v>
      </c>
      <c r="D447" s="2" t="s">
        <v>2088</v>
      </c>
      <c r="E447" s="2" t="s">
        <v>33</v>
      </c>
      <c r="F447" s="2" t="s">
        <v>22</v>
      </c>
      <c r="G447" s="2" t="s">
        <v>35</v>
      </c>
      <c r="H447" s="2" t="s">
        <v>1621</v>
      </c>
      <c r="I447" s="2">
        <v>7428563967</v>
      </c>
      <c r="J447" s="2" t="s">
        <v>1622</v>
      </c>
      <c r="K447" s="2" t="s">
        <v>2280</v>
      </c>
      <c r="L447" s="2">
        <v>9504889751</v>
      </c>
      <c r="M447" s="2" t="s">
        <v>2281</v>
      </c>
      <c r="N447" s="2" t="s">
        <v>289</v>
      </c>
      <c r="O447" s="2">
        <v>8606</v>
      </c>
      <c r="P447" s="2" t="s">
        <v>77</v>
      </c>
      <c r="Q447" s="3">
        <v>0.67</v>
      </c>
      <c r="R447" s="2" t="s">
        <v>2229</v>
      </c>
    </row>
    <row r="448" spans="1:18" ht="15" customHeight="1" x14ac:dyDescent="0.25">
      <c r="A448" s="2">
        <v>447</v>
      </c>
      <c r="B448" s="2" t="s">
        <v>2282</v>
      </c>
      <c r="C448" s="2" t="s">
        <v>2067</v>
      </c>
      <c r="D448" s="2" t="s">
        <v>2094</v>
      </c>
      <c r="E448" s="2" t="s">
        <v>33</v>
      </c>
      <c r="F448" s="2" t="s">
        <v>22</v>
      </c>
      <c r="G448" s="2" t="s">
        <v>23</v>
      </c>
      <c r="H448" s="2" t="s">
        <v>1628</v>
      </c>
      <c r="I448" s="2">
        <v>9564399416</v>
      </c>
      <c r="J448" s="2" t="s">
        <v>744</v>
      </c>
      <c r="K448" s="2" t="s">
        <v>2283</v>
      </c>
      <c r="L448" s="2">
        <v>9494612942</v>
      </c>
      <c r="M448" s="2" t="s">
        <v>2284</v>
      </c>
      <c r="N448" s="2" t="s">
        <v>99</v>
      </c>
      <c r="O448" s="2">
        <v>5334</v>
      </c>
      <c r="P448" s="2" t="s">
        <v>77</v>
      </c>
      <c r="Q448" s="3">
        <v>0.77</v>
      </c>
      <c r="R448" s="2" t="s">
        <v>2246</v>
      </c>
    </row>
    <row r="449" spans="1:18" ht="15" customHeight="1" x14ac:dyDescent="0.25">
      <c r="A449" s="2">
        <v>448</v>
      </c>
      <c r="B449" s="2" t="s">
        <v>2285</v>
      </c>
      <c r="C449" s="2" t="s">
        <v>2067</v>
      </c>
      <c r="D449" s="2" t="s">
        <v>2193</v>
      </c>
      <c r="E449" s="2" t="s">
        <v>33</v>
      </c>
      <c r="F449" s="2" t="s">
        <v>34</v>
      </c>
      <c r="G449" s="2" t="s">
        <v>45</v>
      </c>
      <c r="H449" s="2" t="s">
        <v>2286</v>
      </c>
      <c r="I449" s="2">
        <v>6227332770</v>
      </c>
      <c r="J449" s="2" t="s">
        <v>2287</v>
      </c>
      <c r="K449" s="2" t="s">
        <v>2288</v>
      </c>
      <c r="L449" s="2">
        <v>6486801418</v>
      </c>
      <c r="M449" s="2" t="s">
        <v>2289</v>
      </c>
      <c r="N449" s="2" t="s">
        <v>28</v>
      </c>
      <c r="O449" s="2">
        <v>4851</v>
      </c>
      <c r="P449" s="2" t="s">
        <v>29</v>
      </c>
      <c r="Q449" s="3">
        <v>0.57999999999999996</v>
      </c>
      <c r="R449" s="2" t="s">
        <v>2222</v>
      </c>
    </row>
    <row r="450" spans="1:18" ht="15" customHeight="1" x14ac:dyDescent="0.25">
      <c r="A450" s="2">
        <v>449</v>
      </c>
      <c r="B450" s="2" t="s">
        <v>2290</v>
      </c>
      <c r="C450" s="2" t="s">
        <v>2067</v>
      </c>
      <c r="D450" s="2" t="s">
        <v>2081</v>
      </c>
      <c r="E450" s="2" t="s">
        <v>33</v>
      </c>
      <c r="F450" s="2" t="s">
        <v>34</v>
      </c>
      <c r="G450" s="2" t="s">
        <v>102</v>
      </c>
      <c r="H450" s="2" t="s">
        <v>2291</v>
      </c>
      <c r="I450" s="2">
        <v>8402629052</v>
      </c>
      <c r="J450" s="2" t="s">
        <v>2292</v>
      </c>
      <c r="K450" s="2" t="s">
        <v>2293</v>
      </c>
      <c r="L450" s="2">
        <v>8940877558</v>
      </c>
      <c r="M450" s="2" t="s">
        <v>433</v>
      </c>
      <c r="N450" s="2" t="s">
        <v>40</v>
      </c>
      <c r="O450" s="2">
        <v>5459</v>
      </c>
      <c r="P450" s="2" t="s">
        <v>29</v>
      </c>
      <c r="Q450" s="3">
        <v>0.9</v>
      </c>
      <c r="R450" s="2" t="s">
        <v>42</v>
      </c>
    </row>
    <row r="451" spans="1:18" ht="15" customHeight="1" x14ac:dyDescent="0.25">
      <c r="A451" s="2">
        <v>450</v>
      </c>
      <c r="B451" s="2" t="s">
        <v>2294</v>
      </c>
      <c r="C451" s="2" t="s">
        <v>2067</v>
      </c>
      <c r="D451" s="2" t="s">
        <v>2140</v>
      </c>
      <c r="E451" s="2" t="s">
        <v>55</v>
      </c>
      <c r="F451" s="2" t="s">
        <v>34</v>
      </c>
      <c r="G451" s="2" t="s">
        <v>35</v>
      </c>
      <c r="H451" s="2" t="s">
        <v>2295</v>
      </c>
      <c r="I451" s="2">
        <v>6436161542</v>
      </c>
      <c r="J451" s="2" t="s">
        <v>605</v>
      </c>
      <c r="K451" s="2" t="s">
        <v>1206</v>
      </c>
      <c r="L451" s="2">
        <v>7560412945</v>
      </c>
      <c r="M451" s="2" t="s">
        <v>2296</v>
      </c>
      <c r="N451" s="2" t="s">
        <v>161</v>
      </c>
      <c r="O451" s="2">
        <v>7012</v>
      </c>
      <c r="P451" s="2" t="s">
        <v>61</v>
      </c>
      <c r="Q451" s="3">
        <v>0.65</v>
      </c>
      <c r="R451" s="2" t="s">
        <v>2104</v>
      </c>
    </row>
    <row r="452" spans="1:18" ht="15" customHeight="1" x14ac:dyDescent="0.25">
      <c r="A452" s="2">
        <v>451</v>
      </c>
      <c r="B452" s="2" t="s">
        <v>2297</v>
      </c>
      <c r="C452" s="2" t="s">
        <v>2067</v>
      </c>
      <c r="D452" s="2" t="s">
        <v>2068</v>
      </c>
      <c r="E452" s="2" t="s">
        <v>33</v>
      </c>
      <c r="F452" s="2" t="s">
        <v>22</v>
      </c>
      <c r="G452" s="2" t="s">
        <v>156</v>
      </c>
      <c r="H452" s="2" t="s">
        <v>2298</v>
      </c>
      <c r="I452" s="2">
        <v>9836332204</v>
      </c>
      <c r="J452" s="2" t="s">
        <v>2299</v>
      </c>
      <c r="K452" s="2" t="s">
        <v>2300</v>
      </c>
      <c r="L452" s="2">
        <v>9919094911</v>
      </c>
      <c r="M452" s="2" t="s">
        <v>2021</v>
      </c>
      <c r="N452" s="2" t="s">
        <v>60</v>
      </c>
      <c r="O452" s="2">
        <v>2776</v>
      </c>
      <c r="P452" s="2" t="s">
        <v>139</v>
      </c>
      <c r="Q452" s="3">
        <v>0.93</v>
      </c>
      <c r="R452" s="2" t="s">
        <v>2196</v>
      </c>
    </row>
    <row r="453" spans="1:18" ht="15" customHeight="1" x14ac:dyDescent="0.25">
      <c r="A453" s="2">
        <v>452</v>
      </c>
      <c r="B453" s="2" t="s">
        <v>2301</v>
      </c>
      <c r="C453" s="2" t="s">
        <v>2067</v>
      </c>
      <c r="D453" s="2" t="s">
        <v>2174</v>
      </c>
      <c r="E453" s="2" t="s">
        <v>55</v>
      </c>
      <c r="F453" s="2" t="s">
        <v>34</v>
      </c>
      <c r="G453" s="2" t="s">
        <v>156</v>
      </c>
      <c r="H453" s="2" t="s">
        <v>2302</v>
      </c>
      <c r="I453" s="2">
        <v>9216649547</v>
      </c>
      <c r="J453" s="2" t="s">
        <v>2303</v>
      </c>
      <c r="K453" s="2" t="s">
        <v>372</v>
      </c>
      <c r="L453" s="2">
        <v>8711512082</v>
      </c>
      <c r="M453" s="2" t="s">
        <v>2304</v>
      </c>
      <c r="N453" s="2" t="s">
        <v>161</v>
      </c>
      <c r="O453" s="2">
        <v>3018</v>
      </c>
      <c r="P453" s="2" t="s">
        <v>70</v>
      </c>
      <c r="Q453" s="3">
        <v>0.79</v>
      </c>
      <c r="R453" s="2" t="s">
        <v>62</v>
      </c>
    </row>
    <row r="454" spans="1:18" ht="15" customHeight="1" x14ac:dyDescent="0.25">
      <c r="A454" s="2">
        <v>453</v>
      </c>
      <c r="B454" s="2" t="s">
        <v>2305</v>
      </c>
      <c r="C454" s="2" t="s">
        <v>2067</v>
      </c>
      <c r="D454" s="2" t="s">
        <v>2187</v>
      </c>
      <c r="E454" s="2" t="s">
        <v>21</v>
      </c>
      <c r="F454" s="2" t="s">
        <v>34</v>
      </c>
      <c r="G454" s="2" t="s">
        <v>35</v>
      </c>
      <c r="H454" s="2" t="s">
        <v>2306</v>
      </c>
      <c r="I454" s="2">
        <v>7412572176</v>
      </c>
      <c r="J454" s="2" t="s">
        <v>2307</v>
      </c>
      <c r="K454" s="2" t="s">
        <v>2308</v>
      </c>
      <c r="L454" s="2">
        <v>6588191420</v>
      </c>
      <c r="M454" s="2" t="s">
        <v>2309</v>
      </c>
      <c r="N454" s="2" t="s">
        <v>138</v>
      </c>
      <c r="O454" s="2">
        <v>1025</v>
      </c>
      <c r="P454" s="2" t="s">
        <v>41</v>
      </c>
      <c r="Q454" s="3">
        <v>0.85</v>
      </c>
      <c r="R454" s="2" t="s">
        <v>2206</v>
      </c>
    </row>
    <row r="455" spans="1:18" ht="15" customHeight="1" x14ac:dyDescent="0.25">
      <c r="A455" s="2">
        <v>454</v>
      </c>
      <c r="B455" s="2" t="s">
        <v>2310</v>
      </c>
      <c r="C455" s="2" t="s">
        <v>2067</v>
      </c>
      <c r="D455" s="2" t="s">
        <v>2099</v>
      </c>
      <c r="E455" s="2" t="s">
        <v>21</v>
      </c>
      <c r="F455" s="2" t="s">
        <v>34</v>
      </c>
      <c r="G455" s="2" t="s">
        <v>45</v>
      </c>
      <c r="H455" s="2" t="s">
        <v>2311</v>
      </c>
      <c r="I455" s="2">
        <v>9978209248</v>
      </c>
      <c r="J455" s="2" t="s">
        <v>1117</v>
      </c>
      <c r="K455" s="2" t="s">
        <v>2312</v>
      </c>
      <c r="L455" s="2">
        <v>9270490067</v>
      </c>
      <c r="M455" s="2" t="s">
        <v>199</v>
      </c>
      <c r="N455" s="2" t="s">
        <v>107</v>
      </c>
      <c r="O455" s="2">
        <v>3072</v>
      </c>
      <c r="P455" s="2" t="s">
        <v>51</v>
      </c>
      <c r="Q455" s="3">
        <v>0.61</v>
      </c>
      <c r="R455" s="2" t="s">
        <v>2086</v>
      </c>
    </row>
    <row r="456" spans="1:18" ht="15" customHeight="1" x14ac:dyDescent="0.25">
      <c r="A456" s="2">
        <v>455</v>
      </c>
      <c r="B456" s="2" t="s">
        <v>2313</v>
      </c>
      <c r="C456" s="2" t="s">
        <v>2067</v>
      </c>
      <c r="D456" s="2" t="s">
        <v>2106</v>
      </c>
      <c r="E456" s="2" t="s">
        <v>55</v>
      </c>
      <c r="F456" s="2" t="s">
        <v>34</v>
      </c>
      <c r="G456" s="2" t="s">
        <v>45</v>
      </c>
      <c r="H456" s="2" t="s">
        <v>2314</v>
      </c>
      <c r="I456" s="2">
        <v>9594140885</v>
      </c>
      <c r="J456" s="2" t="s">
        <v>2315</v>
      </c>
      <c r="K456" s="2" t="s">
        <v>2316</v>
      </c>
      <c r="L456" s="2">
        <v>9718617836</v>
      </c>
      <c r="M456" s="2" t="s">
        <v>756</v>
      </c>
      <c r="N456" s="2" t="s">
        <v>40</v>
      </c>
      <c r="O456" s="2">
        <v>3804</v>
      </c>
      <c r="P456" s="2" t="s">
        <v>51</v>
      </c>
      <c r="Q456" s="3">
        <v>0.98</v>
      </c>
      <c r="R456" s="2" t="s">
        <v>2256</v>
      </c>
    </row>
    <row r="457" spans="1:18" ht="15" customHeight="1" x14ac:dyDescent="0.25">
      <c r="A457" s="2">
        <v>456</v>
      </c>
      <c r="B457" s="2" t="s">
        <v>2317</v>
      </c>
      <c r="C457" s="2" t="s">
        <v>2067</v>
      </c>
      <c r="D457" s="2" t="s">
        <v>2106</v>
      </c>
      <c r="E457" s="2" t="s">
        <v>55</v>
      </c>
      <c r="F457" s="2" t="s">
        <v>22</v>
      </c>
      <c r="G457" s="2" t="s">
        <v>45</v>
      </c>
      <c r="H457" s="2" t="s">
        <v>2318</v>
      </c>
      <c r="I457" s="2">
        <v>9591589232</v>
      </c>
      <c r="J457" s="2" t="s">
        <v>2319</v>
      </c>
      <c r="K457" s="2" t="s">
        <v>1641</v>
      </c>
      <c r="L457" s="2">
        <v>9807681800</v>
      </c>
      <c r="M457" s="2" t="s">
        <v>2320</v>
      </c>
      <c r="N457" s="2" t="s">
        <v>60</v>
      </c>
      <c r="O457" s="2">
        <v>11973</v>
      </c>
      <c r="P457" s="2" t="s">
        <v>41</v>
      </c>
      <c r="Q457" s="3">
        <v>0.86</v>
      </c>
      <c r="R457" s="2" t="s">
        <v>42</v>
      </c>
    </row>
    <row r="458" spans="1:18" ht="15" customHeight="1" x14ac:dyDescent="0.25">
      <c r="A458" s="2">
        <v>457</v>
      </c>
      <c r="B458" s="2" t="s">
        <v>2321</v>
      </c>
      <c r="C458" s="2" t="s">
        <v>2067</v>
      </c>
      <c r="D458" s="2" t="s">
        <v>2074</v>
      </c>
      <c r="E458" s="2" t="s">
        <v>33</v>
      </c>
      <c r="F458" s="2" t="s">
        <v>22</v>
      </c>
      <c r="G458" s="2" t="s">
        <v>156</v>
      </c>
      <c r="H458" s="2" t="s">
        <v>2322</v>
      </c>
      <c r="I458" s="2">
        <v>6641589839</v>
      </c>
      <c r="J458" s="2" t="s">
        <v>1978</v>
      </c>
      <c r="K458" s="2" t="s">
        <v>2323</v>
      </c>
      <c r="L458" s="2">
        <v>8540337297</v>
      </c>
      <c r="M458" s="2" t="s">
        <v>2324</v>
      </c>
      <c r="N458" s="2" t="s">
        <v>28</v>
      </c>
      <c r="O458" s="2">
        <v>3087</v>
      </c>
      <c r="P458" s="2" t="s">
        <v>70</v>
      </c>
      <c r="Q458" s="3">
        <v>0.93</v>
      </c>
      <c r="R458" s="2" t="s">
        <v>2128</v>
      </c>
    </row>
    <row r="459" spans="1:18" ht="15" customHeight="1" x14ac:dyDescent="0.25">
      <c r="A459" s="2">
        <v>458</v>
      </c>
      <c r="B459" s="2" t="s">
        <v>2325</v>
      </c>
      <c r="C459" s="2" t="s">
        <v>2067</v>
      </c>
      <c r="D459" s="2" t="s">
        <v>2193</v>
      </c>
      <c r="E459" s="2" t="s">
        <v>21</v>
      </c>
      <c r="F459" s="2" t="s">
        <v>22</v>
      </c>
      <c r="G459" s="2" t="s">
        <v>45</v>
      </c>
      <c r="H459" s="2" t="s">
        <v>2326</v>
      </c>
      <c r="I459" s="2">
        <v>6369085856</v>
      </c>
      <c r="J459" s="2" t="s">
        <v>2327</v>
      </c>
      <c r="K459" s="2" t="s">
        <v>386</v>
      </c>
      <c r="L459" s="2">
        <v>6861389900</v>
      </c>
      <c r="M459" s="2" t="s">
        <v>2328</v>
      </c>
      <c r="N459" s="2" t="s">
        <v>215</v>
      </c>
      <c r="O459" s="2">
        <v>1699</v>
      </c>
      <c r="P459" s="2" t="s">
        <v>29</v>
      </c>
      <c r="Q459" s="3">
        <v>0.85</v>
      </c>
      <c r="R459" s="2" t="s">
        <v>2206</v>
      </c>
    </row>
    <row r="460" spans="1:18" ht="15" customHeight="1" x14ac:dyDescent="0.25">
      <c r="A460" s="2">
        <v>459</v>
      </c>
      <c r="B460" s="2" t="s">
        <v>2329</v>
      </c>
      <c r="C460" s="2" t="s">
        <v>2067</v>
      </c>
      <c r="D460" s="2" t="s">
        <v>2068</v>
      </c>
      <c r="E460" s="2" t="s">
        <v>33</v>
      </c>
      <c r="F460" s="2" t="s">
        <v>22</v>
      </c>
      <c r="G460" s="2" t="s">
        <v>156</v>
      </c>
      <c r="H460" s="2" t="s">
        <v>2330</v>
      </c>
      <c r="I460" s="2">
        <v>6674080176</v>
      </c>
      <c r="J460" s="2" t="s">
        <v>2331</v>
      </c>
      <c r="K460" s="2" t="s">
        <v>2102</v>
      </c>
      <c r="L460" s="2">
        <v>9280875434</v>
      </c>
      <c r="M460" s="2" t="s">
        <v>2332</v>
      </c>
      <c r="N460" s="2" t="s">
        <v>28</v>
      </c>
      <c r="O460" s="2">
        <v>7671</v>
      </c>
      <c r="P460" s="2" t="s">
        <v>61</v>
      </c>
      <c r="Q460" s="3">
        <v>0.75</v>
      </c>
      <c r="R460" s="2" t="s">
        <v>2113</v>
      </c>
    </row>
    <row r="461" spans="1:18" ht="15" customHeight="1" x14ac:dyDescent="0.25">
      <c r="A461" s="2">
        <v>460</v>
      </c>
      <c r="B461" s="2" t="s">
        <v>2333</v>
      </c>
      <c r="C461" s="2" t="s">
        <v>2067</v>
      </c>
      <c r="D461" s="2" t="s">
        <v>2193</v>
      </c>
      <c r="E461" s="2" t="s">
        <v>21</v>
      </c>
      <c r="F461" s="2" t="s">
        <v>22</v>
      </c>
      <c r="G461" s="2" t="s">
        <v>23</v>
      </c>
      <c r="H461" s="2" t="s">
        <v>1572</v>
      </c>
      <c r="I461" s="2">
        <v>8576727072</v>
      </c>
      <c r="J461" s="2" t="s">
        <v>1855</v>
      </c>
      <c r="K461" s="2" t="s">
        <v>2334</v>
      </c>
      <c r="L461" s="2">
        <v>6742318110</v>
      </c>
      <c r="M461" s="2" t="s">
        <v>2335</v>
      </c>
      <c r="N461" s="2" t="s">
        <v>195</v>
      </c>
      <c r="O461" s="2">
        <v>1064</v>
      </c>
      <c r="P461" s="2" t="s">
        <v>29</v>
      </c>
      <c r="Q461" s="3">
        <v>0.78</v>
      </c>
      <c r="R461" s="2" t="s">
        <v>2092</v>
      </c>
    </row>
    <row r="462" spans="1:18" ht="15" customHeight="1" x14ac:dyDescent="0.25">
      <c r="A462" s="2">
        <v>461</v>
      </c>
      <c r="B462" s="2" t="s">
        <v>2336</v>
      </c>
      <c r="C462" s="2" t="s">
        <v>2067</v>
      </c>
      <c r="D462" s="2" t="s">
        <v>2125</v>
      </c>
      <c r="E462" s="2" t="s">
        <v>21</v>
      </c>
      <c r="F462" s="2" t="s">
        <v>22</v>
      </c>
      <c r="G462" s="2" t="s">
        <v>102</v>
      </c>
      <c r="H462" s="2" t="s">
        <v>2337</v>
      </c>
      <c r="I462" s="2">
        <v>7877401428</v>
      </c>
      <c r="J462" s="2" t="s">
        <v>2040</v>
      </c>
      <c r="K462" s="2" t="s">
        <v>2338</v>
      </c>
      <c r="L462" s="2">
        <v>7147258075</v>
      </c>
      <c r="M462" s="2" t="s">
        <v>2339</v>
      </c>
      <c r="N462" s="2" t="s">
        <v>28</v>
      </c>
      <c r="O462" s="2">
        <v>3776</v>
      </c>
      <c r="P462" s="2" t="s">
        <v>51</v>
      </c>
      <c r="Q462" s="3">
        <v>0.56000000000000005</v>
      </c>
      <c r="R462" s="2" t="s">
        <v>78</v>
      </c>
    </row>
    <row r="463" spans="1:18" ht="15" customHeight="1" x14ac:dyDescent="0.25">
      <c r="A463" s="2">
        <v>462</v>
      </c>
      <c r="B463" s="2" t="s">
        <v>2340</v>
      </c>
      <c r="C463" s="2" t="s">
        <v>2067</v>
      </c>
      <c r="D463" s="2" t="s">
        <v>2074</v>
      </c>
      <c r="E463" s="2" t="s">
        <v>33</v>
      </c>
      <c r="F463" s="2" t="s">
        <v>22</v>
      </c>
      <c r="G463" s="2" t="s">
        <v>23</v>
      </c>
      <c r="H463" s="2" t="s">
        <v>2341</v>
      </c>
      <c r="I463" s="2">
        <v>9802219378</v>
      </c>
      <c r="J463" s="2" t="s">
        <v>2342</v>
      </c>
      <c r="K463" s="2" t="s">
        <v>655</v>
      </c>
      <c r="L463" s="2">
        <v>8112864905</v>
      </c>
      <c r="M463" s="2" t="s">
        <v>2343</v>
      </c>
      <c r="N463" s="2" t="s">
        <v>195</v>
      </c>
      <c r="O463" s="2">
        <v>9375</v>
      </c>
      <c r="P463" s="2" t="s">
        <v>77</v>
      </c>
      <c r="Q463" s="3">
        <v>0.95</v>
      </c>
      <c r="R463" s="2" t="s">
        <v>2196</v>
      </c>
    </row>
    <row r="464" spans="1:18" ht="15" customHeight="1" x14ac:dyDescent="0.25">
      <c r="A464" s="2">
        <v>463</v>
      </c>
      <c r="B464" s="2" t="s">
        <v>2344</v>
      </c>
      <c r="C464" s="2" t="s">
        <v>2067</v>
      </c>
      <c r="D464" s="2" t="s">
        <v>2068</v>
      </c>
      <c r="E464" s="2" t="s">
        <v>21</v>
      </c>
      <c r="F464" s="2" t="s">
        <v>34</v>
      </c>
      <c r="G464" s="2" t="s">
        <v>102</v>
      </c>
      <c r="H464" s="2" t="s">
        <v>1551</v>
      </c>
      <c r="I464" s="2">
        <v>8201731201</v>
      </c>
      <c r="J464" s="2" t="s">
        <v>1552</v>
      </c>
      <c r="K464" s="2" t="s">
        <v>2345</v>
      </c>
      <c r="L464" s="2">
        <v>8777395712</v>
      </c>
      <c r="M464" s="2" t="s">
        <v>2346</v>
      </c>
      <c r="N464" s="2" t="s">
        <v>60</v>
      </c>
      <c r="O464" s="2">
        <v>1219</v>
      </c>
      <c r="P464" s="2" t="s">
        <v>51</v>
      </c>
      <c r="Q464" s="3">
        <v>0.93</v>
      </c>
      <c r="R464" s="2" t="s">
        <v>1708</v>
      </c>
    </row>
    <row r="465" spans="1:18" ht="15" customHeight="1" x14ac:dyDescent="0.25">
      <c r="A465" s="2">
        <v>464</v>
      </c>
      <c r="B465" s="2" t="s">
        <v>2347</v>
      </c>
      <c r="C465" s="2" t="s">
        <v>2067</v>
      </c>
      <c r="D465" s="2" t="s">
        <v>2174</v>
      </c>
      <c r="E465" s="2" t="s">
        <v>21</v>
      </c>
      <c r="F465" s="2" t="s">
        <v>22</v>
      </c>
      <c r="G465" s="2" t="s">
        <v>102</v>
      </c>
      <c r="H465" s="2" t="s">
        <v>2348</v>
      </c>
      <c r="I465" s="2">
        <v>6349758689</v>
      </c>
      <c r="J465" s="2" t="s">
        <v>2349</v>
      </c>
      <c r="K465" s="2" t="s">
        <v>310</v>
      </c>
      <c r="L465" s="2">
        <v>6761799351</v>
      </c>
      <c r="M465" s="2" t="s">
        <v>2350</v>
      </c>
      <c r="N465" s="2" t="s">
        <v>289</v>
      </c>
      <c r="O465" s="2">
        <v>1606</v>
      </c>
      <c r="P465" s="2" t="s">
        <v>70</v>
      </c>
      <c r="Q465" s="3">
        <v>0.56000000000000005</v>
      </c>
      <c r="R465" s="2" t="s">
        <v>1708</v>
      </c>
    </row>
    <row r="466" spans="1:18" ht="15" customHeight="1" x14ac:dyDescent="0.25">
      <c r="A466" s="2">
        <v>465</v>
      </c>
      <c r="B466" s="2" t="s">
        <v>2351</v>
      </c>
      <c r="C466" s="2" t="s">
        <v>2067</v>
      </c>
      <c r="D466" s="2" t="s">
        <v>2276</v>
      </c>
      <c r="E466" s="2" t="s">
        <v>55</v>
      </c>
      <c r="F466" s="2" t="s">
        <v>22</v>
      </c>
      <c r="G466" s="2" t="s">
        <v>23</v>
      </c>
      <c r="H466" s="2" t="s">
        <v>1783</v>
      </c>
      <c r="I466" s="2">
        <v>9893769688</v>
      </c>
      <c r="J466" s="2" t="s">
        <v>2352</v>
      </c>
      <c r="K466" s="2" t="s">
        <v>2353</v>
      </c>
      <c r="L466" s="2">
        <v>8244168106</v>
      </c>
      <c r="M466" s="2" t="s">
        <v>1570</v>
      </c>
      <c r="N466" s="2" t="s">
        <v>99</v>
      </c>
      <c r="O466" s="2">
        <v>1481</v>
      </c>
      <c r="P466" s="2" t="s">
        <v>61</v>
      </c>
      <c r="Q466" s="3">
        <v>0.71</v>
      </c>
      <c r="R466" s="2" t="s">
        <v>147</v>
      </c>
    </row>
    <row r="467" spans="1:18" ht="15" customHeight="1" x14ac:dyDescent="0.25">
      <c r="A467" s="2">
        <v>466</v>
      </c>
      <c r="B467" s="2" t="s">
        <v>2354</v>
      </c>
      <c r="C467" s="2" t="s">
        <v>2067</v>
      </c>
      <c r="D467" s="2" t="s">
        <v>2180</v>
      </c>
      <c r="E467" s="2" t="s">
        <v>55</v>
      </c>
      <c r="F467" s="2" t="s">
        <v>22</v>
      </c>
      <c r="G467" s="2" t="s">
        <v>45</v>
      </c>
      <c r="H467" s="2" t="s">
        <v>2355</v>
      </c>
      <c r="I467" s="2">
        <v>7752902881</v>
      </c>
      <c r="J467" s="2" t="s">
        <v>2356</v>
      </c>
      <c r="K467" s="2" t="s">
        <v>2357</v>
      </c>
      <c r="L467" s="2">
        <v>9659926223</v>
      </c>
      <c r="M467" s="2" t="s">
        <v>2358</v>
      </c>
      <c r="N467" s="2" t="s">
        <v>202</v>
      </c>
      <c r="O467" s="2">
        <v>888</v>
      </c>
      <c r="P467" s="2" t="s">
        <v>61</v>
      </c>
      <c r="Q467" s="3">
        <v>0.91</v>
      </c>
      <c r="R467" s="2" t="s">
        <v>2158</v>
      </c>
    </row>
    <row r="468" spans="1:18" ht="15" customHeight="1" x14ac:dyDescent="0.25">
      <c r="A468" s="2">
        <v>467</v>
      </c>
      <c r="B468" s="2" t="s">
        <v>2359</v>
      </c>
      <c r="C468" s="2" t="s">
        <v>2067</v>
      </c>
      <c r="D468" s="2" t="s">
        <v>2068</v>
      </c>
      <c r="E468" s="2" t="s">
        <v>55</v>
      </c>
      <c r="F468" s="2" t="s">
        <v>34</v>
      </c>
      <c r="G468" s="2" t="s">
        <v>45</v>
      </c>
      <c r="H468" s="2" t="s">
        <v>2360</v>
      </c>
      <c r="I468" s="2">
        <v>6557671519</v>
      </c>
      <c r="J468" s="2" t="s">
        <v>2361</v>
      </c>
      <c r="K468" s="2" t="s">
        <v>26</v>
      </c>
      <c r="L468" s="2">
        <v>9434430817</v>
      </c>
      <c r="M468" s="2" t="s">
        <v>27</v>
      </c>
      <c r="N468" s="2" t="s">
        <v>99</v>
      </c>
      <c r="O468" s="2">
        <v>3653</v>
      </c>
      <c r="P468" s="2" t="s">
        <v>51</v>
      </c>
      <c r="Q468" s="3">
        <v>0.82</v>
      </c>
      <c r="R468" s="2" t="s">
        <v>2169</v>
      </c>
    </row>
    <row r="469" spans="1:18" ht="15" customHeight="1" x14ac:dyDescent="0.25">
      <c r="A469" s="2">
        <v>468</v>
      </c>
      <c r="B469" s="2" t="s">
        <v>2362</v>
      </c>
      <c r="C469" s="2" t="s">
        <v>2067</v>
      </c>
      <c r="D469" s="2" t="s">
        <v>2276</v>
      </c>
      <c r="E469" s="2" t="s">
        <v>33</v>
      </c>
      <c r="F469" s="2" t="s">
        <v>34</v>
      </c>
      <c r="G469" s="2" t="s">
        <v>23</v>
      </c>
      <c r="H469" s="2" t="s">
        <v>111</v>
      </c>
      <c r="I469" s="2">
        <v>9573923944</v>
      </c>
      <c r="J469" s="2" t="s">
        <v>112</v>
      </c>
      <c r="K469" s="2" t="s">
        <v>1391</v>
      </c>
      <c r="L469" s="2">
        <v>9642553751</v>
      </c>
      <c r="M469" s="2" t="s">
        <v>2363</v>
      </c>
      <c r="N469" s="2" t="s">
        <v>202</v>
      </c>
      <c r="O469" s="2">
        <v>5175</v>
      </c>
      <c r="P469" s="2" t="s">
        <v>139</v>
      </c>
      <c r="Q469" s="3">
        <v>0.74</v>
      </c>
      <c r="R469" s="2" t="s">
        <v>78</v>
      </c>
    </row>
    <row r="470" spans="1:18" ht="15" customHeight="1" x14ac:dyDescent="0.25">
      <c r="A470" s="2">
        <v>469</v>
      </c>
      <c r="B470" s="2" t="s">
        <v>2364</v>
      </c>
      <c r="C470" s="2" t="s">
        <v>2067</v>
      </c>
      <c r="D470" s="2" t="s">
        <v>2231</v>
      </c>
      <c r="E470" s="2" t="s">
        <v>21</v>
      </c>
      <c r="F470" s="2" t="s">
        <v>22</v>
      </c>
      <c r="G470" s="2" t="s">
        <v>45</v>
      </c>
      <c r="H470" s="2" t="s">
        <v>2365</v>
      </c>
      <c r="I470" s="2">
        <v>9177244613</v>
      </c>
      <c r="J470" s="2" t="s">
        <v>2366</v>
      </c>
      <c r="K470" s="2" t="s">
        <v>2367</v>
      </c>
      <c r="L470" s="2">
        <v>8246733633</v>
      </c>
      <c r="M470" s="2" t="s">
        <v>2368</v>
      </c>
      <c r="N470" s="2" t="s">
        <v>99</v>
      </c>
      <c r="O470" s="2">
        <v>5418</v>
      </c>
      <c r="P470" s="2" t="s">
        <v>139</v>
      </c>
      <c r="Q470" s="3">
        <v>0.78</v>
      </c>
      <c r="R470" s="2" t="s">
        <v>2202</v>
      </c>
    </row>
    <row r="471" spans="1:18" ht="15" customHeight="1" x14ac:dyDescent="0.25">
      <c r="A471" s="2">
        <v>470</v>
      </c>
      <c r="B471" s="2" t="s">
        <v>2369</v>
      </c>
      <c r="C471" s="2" t="s">
        <v>2067</v>
      </c>
      <c r="D471" s="2" t="s">
        <v>2370</v>
      </c>
      <c r="E471" s="2" t="s">
        <v>21</v>
      </c>
      <c r="F471" s="2" t="s">
        <v>34</v>
      </c>
      <c r="G471" s="2" t="s">
        <v>35</v>
      </c>
      <c r="H471" s="2" t="s">
        <v>1422</v>
      </c>
      <c r="I471" s="2">
        <v>6513203779</v>
      </c>
      <c r="J471" s="2" t="s">
        <v>1423</v>
      </c>
      <c r="K471" s="2" t="s">
        <v>2371</v>
      </c>
      <c r="L471" s="2">
        <v>7308550942</v>
      </c>
      <c r="M471" s="2" t="s">
        <v>2372</v>
      </c>
      <c r="N471" s="2" t="s">
        <v>60</v>
      </c>
      <c r="O471" s="2">
        <v>8551</v>
      </c>
      <c r="P471" s="2" t="s">
        <v>77</v>
      </c>
      <c r="Q471" s="3">
        <v>0.95</v>
      </c>
      <c r="R471" s="2" t="s">
        <v>2216</v>
      </c>
    </row>
    <row r="472" spans="1:18" ht="15" customHeight="1" x14ac:dyDescent="0.25">
      <c r="A472" s="2">
        <v>471</v>
      </c>
      <c r="B472" s="2" t="s">
        <v>2373</v>
      </c>
      <c r="C472" s="2" t="s">
        <v>2067</v>
      </c>
      <c r="D472" s="2" t="s">
        <v>2094</v>
      </c>
      <c r="E472" s="2" t="s">
        <v>55</v>
      </c>
      <c r="F472" s="2" t="s">
        <v>22</v>
      </c>
      <c r="G472" s="2" t="s">
        <v>102</v>
      </c>
      <c r="H472" s="2" t="s">
        <v>1711</v>
      </c>
      <c r="I472" s="2">
        <v>9831289574</v>
      </c>
      <c r="J472" s="2" t="s">
        <v>2374</v>
      </c>
      <c r="K472" s="2" t="s">
        <v>2375</v>
      </c>
      <c r="L472" s="2">
        <v>7373039702</v>
      </c>
      <c r="M472" s="2" t="s">
        <v>2376</v>
      </c>
      <c r="N472" s="2" t="s">
        <v>271</v>
      </c>
      <c r="O472" s="2">
        <v>11164</v>
      </c>
      <c r="P472" s="2" t="s">
        <v>77</v>
      </c>
      <c r="Q472" s="3">
        <v>0.95</v>
      </c>
      <c r="R472" s="2" t="s">
        <v>2202</v>
      </c>
    </row>
    <row r="473" spans="1:18" ht="15" customHeight="1" x14ac:dyDescent="0.25">
      <c r="A473" s="2">
        <v>472</v>
      </c>
      <c r="B473" s="2" t="s">
        <v>2377</v>
      </c>
      <c r="C473" s="2" t="s">
        <v>2067</v>
      </c>
      <c r="D473" s="2" t="s">
        <v>2140</v>
      </c>
      <c r="E473" s="2" t="s">
        <v>55</v>
      </c>
      <c r="F473" s="2" t="s">
        <v>22</v>
      </c>
      <c r="G473" s="2" t="s">
        <v>156</v>
      </c>
      <c r="H473" s="2" t="s">
        <v>1605</v>
      </c>
      <c r="I473" s="2">
        <v>9371518421</v>
      </c>
      <c r="J473" s="2" t="s">
        <v>889</v>
      </c>
      <c r="K473" s="2" t="s">
        <v>2378</v>
      </c>
      <c r="L473" s="2">
        <v>8637565427</v>
      </c>
      <c r="M473" s="2" t="s">
        <v>321</v>
      </c>
      <c r="N473" s="2" t="s">
        <v>50</v>
      </c>
      <c r="O473" s="2">
        <v>2012</v>
      </c>
      <c r="P473" s="2" t="s">
        <v>29</v>
      </c>
      <c r="Q473" s="3">
        <v>0.86</v>
      </c>
      <c r="R473" s="2" t="s">
        <v>42</v>
      </c>
    </row>
    <row r="474" spans="1:18" ht="15" customHeight="1" x14ac:dyDescent="0.25">
      <c r="A474" s="2">
        <v>473</v>
      </c>
      <c r="B474" s="2" t="s">
        <v>2379</v>
      </c>
      <c r="C474" s="2" t="s">
        <v>2067</v>
      </c>
      <c r="D474" s="2" t="s">
        <v>2140</v>
      </c>
      <c r="E474" s="2" t="s">
        <v>33</v>
      </c>
      <c r="F474" s="2" t="s">
        <v>22</v>
      </c>
      <c r="G474" s="2" t="s">
        <v>156</v>
      </c>
      <c r="H474" s="2" t="s">
        <v>2380</v>
      </c>
      <c r="I474" s="2">
        <v>7976591420</v>
      </c>
      <c r="J474" s="2" t="s">
        <v>2381</v>
      </c>
      <c r="K474" s="2" t="s">
        <v>2382</v>
      </c>
      <c r="L474" s="2">
        <v>9101694991</v>
      </c>
      <c r="M474" s="2" t="s">
        <v>2383</v>
      </c>
      <c r="N474" s="2" t="s">
        <v>50</v>
      </c>
      <c r="O474" s="2">
        <v>10923</v>
      </c>
      <c r="P474" s="2" t="s">
        <v>139</v>
      </c>
      <c r="Q474" s="3">
        <v>0.88</v>
      </c>
      <c r="R474" s="2" t="s">
        <v>62</v>
      </c>
    </row>
    <row r="475" spans="1:18" ht="15" customHeight="1" x14ac:dyDescent="0.25">
      <c r="A475" s="2">
        <v>474</v>
      </c>
      <c r="B475" s="2" t="s">
        <v>2384</v>
      </c>
      <c r="C475" s="2" t="s">
        <v>2067</v>
      </c>
      <c r="D475" s="2" t="s">
        <v>2385</v>
      </c>
      <c r="E475" s="2" t="s">
        <v>55</v>
      </c>
      <c r="F475" s="2" t="s">
        <v>22</v>
      </c>
      <c r="G475" s="2" t="s">
        <v>102</v>
      </c>
      <c r="H475" s="2" t="s">
        <v>2386</v>
      </c>
      <c r="I475" s="2">
        <v>7299327335</v>
      </c>
      <c r="J475" s="2" t="s">
        <v>2387</v>
      </c>
      <c r="K475" s="2" t="s">
        <v>2388</v>
      </c>
      <c r="L475" s="2">
        <v>7163331510</v>
      </c>
      <c r="M475" s="2" t="s">
        <v>2389</v>
      </c>
      <c r="N475" s="2" t="s">
        <v>462</v>
      </c>
      <c r="O475" s="2">
        <v>3295</v>
      </c>
      <c r="P475" s="2" t="s">
        <v>61</v>
      </c>
      <c r="Q475" s="3">
        <v>0.71</v>
      </c>
      <c r="R475" s="2" t="s">
        <v>2104</v>
      </c>
    </row>
    <row r="476" spans="1:18" ht="15" customHeight="1" x14ac:dyDescent="0.25">
      <c r="A476" s="2">
        <v>475</v>
      </c>
      <c r="B476" s="2" t="s">
        <v>2390</v>
      </c>
      <c r="C476" s="2" t="s">
        <v>2067</v>
      </c>
      <c r="D476" s="2" t="s">
        <v>2193</v>
      </c>
      <c r="E476" s="2" t="s">
        <v>33</v>
      </c>
      <c r="F476" s="2" t="s">
        <v>22</v>
      </c>
      <c r="G476" s="2" t="s">
        <v>35</v>
      </c>
      <c r="H476" s="2" t="s">
        <v>2391</v>
      </c>
      <c r="I476" s="2">
        <v>7613138122</v>
      </c>
      <c r="J476" s="2" t="s">
        <v>2392</v>
      </c>
      <c r="K476" s="2" t="s">
        <v>105</v>
      </c>
      <c r="L476" s="2">
        <v>9822418424</v>
      </c>
      <c r="M476" s="2" t="s">
        <v>106</v>
      </c>
      <c r="N476" s="2" t="s">
        <v>50</v>
      </c>
      <c r="O476" s="2">
        <v>10927</v>
      </c>
      <c r="P476" s="2" t="s">
        <v>61</v>
      </c>
      <c r="Q476" s="3">
        <v>0.57999999999999996</v>
      </c>
      <c r="R476" s="2" t="s">
        <v>2128</v>
      </c>
    </row>
    <row r="477" spans="1:18" ht="15" customHeight="1" x14ac:dyDescent="0.25">
      <c r="A477" s="2">
        <v>476</v>
      </c>
      <c r="B477" s="2" t="s">
        <v>2393</v>
      </c>
      <c r="C477" s="2" t="s">
        <v>2067</v>
      </c>
      <c r="D477" s="2" t="s">
        <v>2180</v>
      </c>
      <c r="E477" s="2" t="s">
        <v>33</v>
      </c>
      <c r="F477" s="2" t="s">
        <v>22</v>
      </c>
      <c r="G477" s="2" t="s">
        <v>156</v>
      </c>
      <c r="H477" s="2" t="s">
        <v>2394</v>
      </c>
      <c r="I477" s="2">
        <v>9461368026</v>
      </c>
      <c r="J477" s="2" t="s">
        <v>2395</v>
      </c>
      <c r="K477" s="2" t="s">
        <v>2396</v>
      </c>
      <c r="L477" s="2">
        <v>8832141597</v>
      </c>
      <c r="M477" s="2" t="s">
        <v>2397</v>
      </c>
      <c r="N477" s="2" t="s">
        <v>271</v>
      </c>
      <c r="O477" s="2">
        <v>2086</v>
      </c>
      <c r="P477" s="2" t="s">
        <v>61</v>
      </c>
      <c r="Q477" s="3">
        <v>0.77</v>
      </c>
      <c r="R477" s="2" t="s">
        <v>2104</v>
      </c>
    </row>
    <row r="478" spans="1:18" ht="15" customHeight="1" x14ac:dyDescent="0.25">
      <c r="A478" s="2">
        <v>477</v>
      </c>
      <c r="B478" s="2" t="s">
        <v>2398</v>
      </c>
      <c r="C478" s="2" t="s">
        <v>2067</v>
      </c>
      <c r="D478" s="2" t="s">
        <v>2276</v>
      </c>
      <c r="E478" s="2" t="s">
        <v>33</v>
      </c>
      <c r="F478" s="2" t="s">
        <v>22</v>
      </c>
      <c r="G478" s="2" t="s">
        <v>45</v>
      </c>
      <c r="H478" s="2" t="s">
        <v>2242</v>
      </c>
      <c r="I478" s="2">
        <v>6669758914</v>
      </c>
      <c r="J478" s="2" t="s">
        <v>2399</v>
      </c>
      <c r="K478" s="2" t="s">
        <v>2400</v>
      </c>
      <c r="L478" s="2">
        <v>8850829666</v>
      </c>
      <c r="M478" s="2" t="s">
        <v>2401</v>
      </c>
      <c r="N478" s="2" t="s">
        <v>271</v>
      </c>
      <c r="O478" s="2">
        <v>6333</v>
      </c>
      <c r="P478" s="2" t="s">
        <v>41</v>
      </c>
      <c r="Q478" s="3">
        <v>0.69</v>
      </c>
      <c r="R478" s="2" t="s">
        <v>2172</v>
      </c>
    </row>
    <row r="479" spans="1:18" ht="15" customHeight="1" x14ac:dyDescent="0.25">
      <c r="A479" s="2">
        <v>478</v>
      </c>
      <c r="B479" s="2" t="s">
        <v>2402</v>
      </c>
      <c r="C479" s="2" t="s">
        <v>2067</v>
      </c>
      <c r="D479" s="2" t="s">
        <v>2068</v>
      </c>
      <c r="E479" s="2" t="s">
        <v>55</v>
      </c>
      <c r="F479" s="2" t="s">
        <v>22</v>
      </c>
      <c r="G479" s="2" t="s">
        <v>45</v>
      </c>
      <c r="H479" s="2" t="s">
        <v>2403</v>
      </c>
      <c r="I479" s="2">
        <v>9529674103</v>
      </c>
      <c r="J479" s="2" t="s">
        <v>2404</v>
      </c>
      <c r="K479" s="2" t="s">
        <v>2405</v>
      </c>
      <c r="L479" s="2">
        <v>6474020739</v>
      </c>
      <c r="M479" s="2" t="s">
        <v>2406</v>
      </c>
      <c r="N479" s="2" t="s">
        <v>462</v>
      </c>
      <c r="O479" s="2">
        <v>11317</v>
      </c>
      <c r="P479" s="2" t="s">
        <v>61</v>
      </c>
      <c r="Q479" s="3">
        <v>0.55000000000000004</v>
      </c>
      <c r="R479" s="2" t="s">
        <v>42</v>
      </c>
    </row>
    <row r="480" spans="1:18" ht="15" customHeight="1" x14ac:dyDescent="0.25">
      <c r="A480" s="2">
        <v>479</v>
      </c>
      <c r="B480" s="2" t="s">
        <v>2407</v>
      </c>
      <c r="C480" s="2" t="s">
        <v>2067</v>
      </c>
      <c r="D480" s="2" t="s">
        <v>2074</v>
      </c>
      <c r="E480" s="2" t="s">
        <v>55</v>
      </c>
      <c r="F480" s="2" t="s">
        <v>22</v>
      </c>
      <c r="G480" s="2" t="s">
        <v>35</v>
      </c>
      <c r="H480" s="2" t="s">
        <v>2408</v>
      </c>
      <c r="I480" s="2">
        <v>6617724535</v>
      </c>
      <c r="J480" s="2" t="s">
        <v>949</v>
      </c>
      <c r="K480" s="2" t="s">
        <v>2409</v>
      </c>
      <c r="L480" s="2">
        <v>7361301518</v>
      </c>
      <c r="M480" s="2" t="s">
        <v>2410</v>
      </c>
      <c r="N480" s="2" t="s">
        <v>195</v>
      </c>
      <c r="O480" s="2">
        <v>2845</v>
      </c>
      <c r="P480" s="2" t="s">
        <v>41</v>
      </c>
      <c r="Q480" s="3">
        <v>0.77</v>
      </c>
      <c r="R480" s="2" t="s">
        <v>2202</v>
      </c>
    </row>
    <row r="481" spans="1:18" ht="15" customHeight="1" x14ac:dyDescent="0.25">
      <c r="A481" s="2">
        <v>480</v>
      </c>
      <c r="B481" s="2" t="s">
        <v>2411</v>
      </c>
      <c r="C481" s="2" t="s">
        <v>2067</v>
      </c>
      <c r="D481" s="2" t="s">
        <v>2187</v>
      </c>
      <c r="E481" s="2" t="s">
        <v>21</v>
      </c>
      <c r="F481" s="2" t="s">
        <v>22</v>
      </c>
      <c r="G481" s="2" t="s">
        <v>156</v>
      </c>
      <c r="H481" s="2" t="s">
        <v>2412</v>
      </c>
      <c r="I481" s="2">
        <v>9197111094</v>
      </c>
      <c r="J481" s="2" t="s">
        <v>2413</v>
      </c>
      <c r="K481" s="2" t="s">
        <v>2414</v>
      </c>
      <c r="L481" s="2">
        <v>8340310093</v>
      </c>
      <c r="M481" s="2" t="s">
        <v>2415</v>
      </c>
      <c r="N481" s="2" t="s">
        <v>138</v>
      </c>
      <c r="O481" s="2">
        <v>5849</v>
      </c>
      <c r="P481" s="2" t="s">
        <v>77</v>
      </c>
      <c r="Q481" s="3">
        <v>0.88</v>
      </c>
      <c r="R481" s="2" t="s">
        <v>2138</v>
      </c>
    </row>
    <row r="482" spans="1:18" ht="15" customHeight="1" x14ac:dyDescent="0.25">
      <c r="A482" s="2">
        <v>481</v>
      </c>
      <c r="B482" s="2" t="s">
        <v>2416</v>
      </c>
      <c r="C482" s="2" t="s">
        <v>2067</v>
      </c>
      <c r="D482" s="2" t="s">
        <v>2187</v>
      </c>
      <c r="E482" s="2" t="s">
        <v>55</v>
      </c>
      <c r="F482" s="2" t="s">
        <v>22</v>
      </c>
      <c r="G482" s="2" t="s">
        <v>45</v>
      </c>
      <c r="H482" s="2" t="s">
        <v>2417</v>
      </c>
      <c r="I482" s="2">
        <v>8236813458</v>
      </c>
      <c r="J482" s="2" t="s">
        <v>2418</v>
      </c>
      <c r="K482" s="2" t="s">
        <v>2419</v>
      </c>
      <c r="L482" s="2">
        <v>8508231386</v>
      </c>
      <c r="M482" s="2" t="s">
        <v>1816</v>
      </c>
      <c r="N482" s="2" t="s">
        <v>462</v>
      </c>
      <c r="O482" s="2">
        <v>4323</v>
      </c>
      <c r="P482" s="2" t="s">
        <v>61</v>
      </c>
      <c r="Q482" s="3">
        <v>0.66</v>
      </c>
      <c r="R482" s="2" t="s">
        <v>2246</v>
      </c>
    </row>
    <row r="483" spans="1:18" ht="15" customHeight="1" x14ac:dyDescent="0.25">
      <c r="A483" s="2">
        <v>482</v>
      </c>
      <c r="B483" s="2" t="s">
        <v>2420</v>
      </c>
      <c r="C483" s="2" t="s">
        <v>2067</v>
      </c>
      <c r="D483" s="2" t="s">
        <v>2106</v>
      </c>
      <c r="E483" s="2" t="s">
        <v>21</v>
      </c>
      <c r="F483" s="2" t="s">
        <v>22</v>
      </c>
      <c r="G483" s="2" t="s">
        <v>23</v>
      </c>
      <c r="H483" s="2" t="s">
        <v>2421</v>
      </c>
      <c r="I483" s="2">
        <v>9439223200</v>
      </c>
      <c r="J483" s="2" t="s">
        <v>2422</v>
      </c>
      <c r="K483" s="2" t="s">
        <v>2334</v>
      </c>
      <c r="L483" s="2">
        <v>7976332198</v>
      </c>
      <c r="M483" s="2" t="s">
        <v>2423</v>
      </c>
      <c r="N483" s="2" t="s">
        <v>107</v>
      </c>
      <c r="O483" s="2">
        <v>7441</v>
      </c>
      <c r="P483" s="2" t="s">
        <v>70</v>
      </c>
      <c r="Q483" s="3">
        <v>0.88</v>
      </c>
      <c r="R483" s="2" t="s">
        <v>2246</v>
      </c>
    </row>
    <row r="484" spans="1:18" ht="15" customHeight="1" x14ac:dyDescent="0.25">
      <c r="A484" s="2">
        <v>483</v>
      </c>
      <c r="B484" s="2" t="s">
        <v>2424</v>
      </c>
      <c r="C484" s="2" t="s">
        <v>2067</v>
      </c>
      <c r="D484" s="2" t="s">
        <v>2231</v>
      </c>
      <c r="E484" s="2" t="s">
        <v>55</v>
      </c>
      <c r="F484" s="2" t="s">
        <v>22</v>
      </c>
      <c r="G484" s="2" t="s">
        <v>35</v>
      </c>
      <c r="H484" s="2" t="s">
        <v>920</v>
      </c>
      <c r="I484" s="2">
        <v>9777613840</v>
      </c>
      <c r="J484" s="2" t="s">
        <v>2425</v>
      </c>
      <c r="K484" s="2" t="s">
        <v>1594</v>
      </c>
      <c r="L484" s="2">
        <v>7631529611</v>
      </c>
      <c r="M484" s="2" t="s">
        <v>2426</v>
      </c>
      <c r="N484" s="2" t="s">
        <v>202</v>
      </c>
      <c r="O484" s="2">
        <v>2889</v>
      </c>
      <c r="P484" s="2" t="s">
        <v>29</v>
      </c>
      <c r="Q484" s="3">
        <v>0.84</v>
      </c>
      <c r="R484" s="2" t="s">
        <v>2161</v>
      </c>
    </row>
    <row r="485" spans="1:18" ht="15" customHeight="1" x14ac:dyDescent="0.25">
      <c r="A485" s="2">
        <v>484</v>
      </c>
      <c r="B485" s="2" t="s">
        <v>2427</v>
      </c>
      <c r="C485" s="2" t="s">
        <v>2067</v>
      </c>
      <c r="D485" s="2" t="s">
        <v>2180</v>
      </c>
      <c r="E485" s="2" t="s">
        <v>33</v>
      </c>
      <c r="F485" s="2" t="s">
        <v>34</v>
      </c>
      <c r="G485" s="2" t="s">
        <v>23</v>
      </c>
      <c r="H485" s="2" t="s">
        <v>2428</v>
      </c>
      <c r="I485" s="2">
        <v>9462291384</v>
      </c>
      <c r="J485" s="2" t="s">
        <v>2429</v>
      </c>
      <c r="K485" s="2" t="s">
        <v>570</v>
      </c>
      <c r="L485" s="2">
        <v>9827888175</v>
      </c>
      <c r="M485" s="2" t="s">
        <v>2430</v>
      </c>
      <c r="N485" s="2" t="s">
        <v>28</v>
      </c>
      <c r="O485" s="2">
        <v>11975</v>
      </c>
      <c r="P485" s="2" t="s">
        <v>29</v>
      </c>
      <c r="Q485" s="3">
        <v>0.56999999999999995</v>
      </c>
      <c r="R485" s="2" t="s">
        <v>2161</v>
      </c>
    </row>
    <row r="486" spans="1:18" ht="15" customHeight="1" x14ac:dyDescent="0.25">
      <c r="A486" s="2">
        <v>485</v>
      </c>
      <c r="B486" s="2" t="s">
        <v>2431</v>
      </c>
      <c r="C486" s="2" t="s">
        <v>2067</v>
      </c>
      <c r="D486" s="2" t="s">
        <v>2125</v>
      </c>
      <c r="E486" s="2" t="s">
        <v>33</v>
      </c>
      <c r="F486" s="2" t="s">
        <v>34</v>
      </c>
      <c r="G486" s="2" t="s">
        <v>102</v>
      </c>
      <c r="H486" s="2" t="s">
        <v>830</v>
      </c>
      <c r="I486" s="2">
        <v>7719718049</v>
      </c>
      <c r="J486" s="2" t="s">
        <v>2432</v>
      </c>
      <c r="K486" s="2" t="s">
        <v>2433</v>
      </c>
      <c r="L486" s="2">
        <v>7574469049</v>
      </c>
      <c r="M486" s="2" t="s">
        <v>2434</v>
      </c>
      <c r="N486" s="2" t="s">
        <v>202</v>
      </c>
      <c r="O486" s="2">
        <v>11909</v>
      </c>
      <c r="P486" s="2" t="s">
        <v>61</v>
      </c>
      <c r="Q486" s="3">
        <v>0.85</v>
      </c>
      <c r="R486" s="2" t="s">
        <v>2216</v>
      </c>
    </row>
    <row r="487" spans="1:18" ht="15" customHeight="1" x14ac:dyDescent="0.25">
      <c r="A487" s="2">
        <v>486</v>
      </c>
      <c r="B487" s="2" t="s">
        <v>2435</v>
      </c>
      <c r="C487" s="2" t="s">
        <v>2067</v>
      </c>
      <c r="D487" s="2" t="s">
        <v>2370</v>
      </c>
      <c r="E487" s="2" t="s">
        <v>21</v>
      </c>
      <c r="F487" s="2" t="s">
        <v>34</v>
      </c>
      <c r="G487" s="2" t="s">
        <v>23</v>
      </c>
      <c r="H487" s="2" t="s">
        <v>812</v>
      </c>
      <c r="I487" s="2">
        <v>8608820219</v>
      </c>
      <c r="J487" s="2" t="s">
        <v>2436</v>
      </c>
      <c r="K487" s="2" t="s">
        <v>2437</v>
      </c>
      <c r="L487" s="2">
        <v>7156341511</v>
      </c>
      <c r="M487" s="2" t="s">
        <v>2438</v>
      </c>
      <c r="N487" s="2" t="s">
        <v>215</v>
      </c>
      <c r="O487" s="2">
        <v>6434</v>
      </c>
      <c r="P487" s="2" t="s">
        <v>29</v>
      </c>
      <c r="Q487" s="3">
        <v>0.92</v>
      </c>
      <c r="R487" s="2" t="s">
        <v>2216</v>
      </c>
    </row>
    <row r="488" spans="1:18" ht="15" customHeight="1" x14ac:dyDescent="0.25">
      <c r="A488" s="2">
        <v>487</v>
      </c>
      <c r="B488" s="2" t="s">
        <v>2439</v>
      </c>
      <c r="C488" s="2" t="s">
        <v>2067</v>
      </c>
      <c r="D488" s="2" t="s">
        <v>2174</v>
      </c>
      <c r="E488" s="2" t="s">
        <v>55</v>
      </c>
      <c r="F488" s="2" t="s">
        <v>22</v>
      </c>
      <c r="G488" s="2" t="s">
        <v>23</v>
      </c>
      <c r="H488" s="2" t="s">
        <v>2440</v>
      </c>
      <c r="I488" s="2">
        <v>6935082100</v>
      </c>
      <c r="J488" s="2" t="s">
        <v>2441</v>
      </c>
      <c r="K488" s="2" t="s">
        <v>1341</v>
      </c>
      <c r="L488" s="2">
        <v>9978530356</v>
      </c>
      <c r="M488" s="2" t="s">
        <v>1342</v>
      </c>
      <c r="N488" s="2" t="s">
        <v>107</v>
      </c>
      <c r="O488" s="2">
        <v>4514</v>
      </c>
      <c r="P488" s="2" t="s">
        <v>51</v>
      </c>
      <c r="Q488" s="3">
        <v>0.6</v>
      </c>
      <c r="R488" s="2" t="s">
        <v>147</v>
      </c>
    </row>
    <row r="489" spans="1:18" ht="15" customHeight="1" x14ac:dyDescent="0.25">
      <c r="A489" s="2">
        <v>488</v>
      </c>
      <c r="B489" s="2" t="s">
        <v>2442</v>
      </c>
      <c r="C489" s="2" t="s">
        <v>2067</v>
      </c>
      <c r="D489" s="2" t="s">
        <v>2068</v>
      </c>
      <c r="E489" s="2" t="s">
        <v>33</v>
      </c>
      <c r="F489" s="2" t="s">
        <v>34</v>
      </c>
      <c r="G489" s="2" t="s">
        <v>156</v>
      </c>
      <c r="H489" s="2" t="s">
        <v>2443</v>
      </c>
      <c r="I489" s="2">
        <v>6952920067</v>
      </c>
      <c r="J489" s="2" t="s">
        <v>2444</v>
      </c>
      <c r="K489" s="2" t="s">
        <v>1380</v>
      </c>
      <c r="L489" s="2">
        <v>7512273781</v>
      </c>
      <c r="M489" s="2" t="s">
        <v>2445</v>
      </c>
      <c r="N489" s="2" t="s">
        <v>99</v>
      </c>
      <c r="O489" s="2">
        <v>2499</v>
      </c>
      <c r="P489" s="2" t="s">
        <v>77</v>
      </c>
      <c r="Q489" s="3">
        <v>0.83</v>
      </c>
      <c r="R489" s="2" t="s">
        <v>1708</v>
      </c>
    </row>
    <row r="490" spans="1:18" ht="15" customHeight="1" x14ac:dyDescent="0.25">
      <c r="A490" s="2">
        <v>489</v>
      </c>
      <c r="B490" s="2" t="s">
        <v>2446</v>
      </c>
      <c r="C490" s="2" t="s">
        <v>2067</v>
      </c>
      <c r="D490" s="2" t="s">
        <v>2106</v>
      </c>
      <c r="E490" s="2" t="s">
        <v>55</v>
      </c>
      <c r="F490" s="2" t="s">
        <v>34</v>
      </c>
      <c r="G490" s="2" t="s">
        <v>102</v>
      </c>
      <c r="H490" s="2" t="s">
        <v>2447</v>
      </c>
      <c r="I490" s="2">
        <v>6909073286</v>
      </c>
      <c r="J490" s="2" t="s">
        <v>2448</v>
      </c>
      <c r="K490" s="2" t="s">
        <v>75</v>
      </c>
      <c r="L490" s="2">
        <v>7807147441</v>
      </c>
      <c r="M490" s="2" t="s">
        <v>717</v>
      </c>
      <c r="N490" s="2" t="s">
        <v>99</v>
      </c>
      <c r="O490" s="2">
        <v>9306</v>
      </c>
      <c r="P490" s="2" t="s">
        <v>61</v>
      </c>
      <c r="Q490" s="3">
        <v>0.72</v>
      </c>
      <c r="R490" s="2" t="s">
        <v>2216</v>
      </c>
    </row>
    <row r="491" spans="1:18" ht="15" customHeight="1" x14ac:dyDescent="0.25">
      <c r="A491" s="2">
        <v>490</v>
      </c>
      <c r="B491" s="2" t="s">
        <v>2449</v>
      </c>
      <c r="C491" s="2" t="s">
        <v>2067</v>
      </c>
      <c r="D491" s="2" t="s">
        <v>2211</v>
      </c>
      <c r="E491" s="2" t="s">
        <v>55</v>
      </c>
      <c r="F491" s="2" t="s">
        <v>34</v>
      </c>
      <c r="G491" s="2" t="s">
        <v>35</v>
      </c>
      <c r="H491" s="2" t="s">
        <v>2450</v>
      </c>
      <c r="I491" s="2">
        <v>8490369190</v>
      </c>
      <c r="J491" s="2" t="s">
        <v>2451</v>
      </c>
      <c r="K491" s="2" t="s">
        <v>2452</v>
      </c>
      <c r="L491" s="2">
        <v>7554247901</v>
      </c>
      <c r="M491" s="2" t="s">
        <v>1287</v>
      </c>
      <c r="N491" s="2" t="s">
        <v>84</v>
      </c>
      <c r="O491" s="2">
        <v>5649</v>
      </c>
      <c r="P491" s="2" t="s">
        <v>51</v>
      </c>
      <c r="Q491" s="3">
        <v>0.56999999999999995</v>
      </c>
      <c r="R491" s="2" t="s">
        <v>147</v>
      </c>
    </row>
    <row r="492" spans="1:18" ht="15" customHeight="1" x14ac:dyDescent="0.25">
      <c r="A492" s="2">
        <v>491</v>
      </c>
      <c r="B492" s="2" t="s">
        <v>2453</v>
      </c>
      <c r="C492" s="2" t="s">
        <v>2067</v>
      </c>
      <c r="D492" s="2" t="s">
        <v>2106</v>
      </c>
      <c r="E492" s="2" t="s">
        <v>21</v>
      </c>
      <c r="F492" s="2" t="s">
        <v>22</v>
      </c>
      <c r="G492" s="2" t="s">
        <v>35</v>
      </c>
      <c r="H492" s="2" t="s">
        <v>2454</v>
      </c>
      <c r="I492" s="2">
        <v>6811479581</v>
      </c>
      <c r="J492" s="2" t="s">
        <v>2455</v>
      </c>
      <c r="K492" s="2" t="s">
        <v>2456</v>
      </c>
      <c r="L492" s="2">
        <v>6354584572</v>
      </c>
      <c r="M492" s="2" t="s">
        <v>2457</v>
      </c>
      <c r="N492" s="2" t="s">
        <v>202</v>
      </c>
      <c r="O492" s="2">
        <v>11299</v>
      </c>
      <c r="P492" s="2" t="s">
        <v>139</v>
      </c>
      <c r="Q492" s="3">
        <v>0.74</v>
      </c>
      <c r="R492" s="2" t="s">
        <v>78</v>
      </c>
    </row>
    <row r="493" spans="1:18" ht="15" customHeight="1" x14ac:dyDescent="0.25">
      <c r="A493" s="2">
        <v>492</v>
      </c>
      <c r="B493" s="2" t="s">
        <v>2458</v>
      </c>
      <c r="C493" s="2" t="s">
        <v>2067</v>
      </c>
      <c r="D493" s="2" t="s">
        <v>2370</v>
      </c>
      <c r="E493" s="2" t="s">
        <v>33</v>
      </c>
      <c r="F493" s="2" t="s">
        <v>22</v>
      </c>
      <c r="G493" s="2" t="s">
        <v>23</v>
      </c>
      <c r="H493" s="2" t="s">
        <v>1639</v>
      </c>
      <c r="I493" s="2">
        <v>8379897048</v>
      </c>
      <c r="J493" s="2" t="s">
        <v>1640</v>
      </c>
      <c r="K493" s="2" t="s">
        <v>1081</v>
      </c>
      <c r="L493" s="2">
        <v>9797684086</v>
      </c>
      <c r="M493" s="2" t="s">
        <v>1082</v>
      </c>
      <c r="N493" s="2" t="s">
        <v>161</v>
      </c>
      <c r="O493" s="2">
        <v>10365</v>
      </c>
      <c r="P493" s="2" t="s">
        <v>139</v>
      </c>
      <c r="Q493" s="3">
        <v>0.64</v>
      </c>
      <c r="R493" s="2" t="s">
        <v>42</v>
      </c>
    </row>
    <row r="494" spans="1:18" ht="15" customHeight="1" x14ac:dyDescent="0.25">
      <c r="A494" s="2">
        <v>493</v>
      </c>
      <c r="B494" s="2" t="s">
        <v>2459</v>
      </c>
      <c r="C494" s="2" t="s">
        <v>2067</v>
      </c>
      <c r="D494" s="2" t="s">
        <v>2068</v>
      </c>
      <c r="E494" s="2" t="s">
        <v>21</v>
      </c>
      <c r="F494" s="2" t="s">
        <v>22</v>
      </c>
      <c r="G494" s="2" t="s">
        <v>45</v>
      </c>
      <c r="H494" s="2" t="s">
        <v>2460</v>
      </c>
      <c r="I494" s="2">
        <v>9982151713</v>
      </c>
      <c r="J494" s="2" t="s">
        <v>2461</v>
      </c>
      <c r="K494" s="2" t="s">
        <v>2462</v>
      </c>
      <c r="L494" s="2">
        <v>7439689322</v>
      </c>
      <c r="M494" s="2" t="s">
        <v>2463</v>
      </c>
      <c r="N494" s="2" t="s">
        <v>161</v>
      </c>
      <c r="O494" s="2">
        <v>9280</v>
      </c>
      <c r="P494" s="2" t="s">
        <v>61</v>
      </c>
      <c r="Q494" s="3">
        <v>0.57999999999999996</v>
      </c>
      <c r="R494" s="2" t="s">
        <v>78</v>
      </c>
    </row>
    <row r="495" spans="1:18" ht="15" customHeight="1" x14ac:dyDescent="0.25">
      <c r="A495" s="2">
        <v>494</v>
      </c>
      <c r="B495" s="2" t="s">
        <v>2464</v>
      </c>
      <c r="C495" s="2" t="s">
        <v>2067</v>
      </c>
      <c r="D495" s="2" t="s">
        <v>2079</v>
      </c>
      <c r="E495" s="2" t="s">
        <v>55</v>
      </c>
      <c r="F495" s="2" t="s">
        <v>34</v>
      </c>
      <c r="G495" s="2" t="s">
        <v>102</v>
      </c>
      <c r="H495" s="2" t="s">
        <v>2465</v>
      </c>
      <c r="I495" s="2">
        <v>7956950522</v>
      </c>
      <c r="J495" s="2" t="s">
        <v>2466</v>
      </c>
      <c r="K495" s="2" t="s">
        <v>2467</v>
      </c>
      <c r="L495" s="2">
        <v>7393826004</v>
      </c>
      <c r="M495" s="2" t="s">
        <v>2468</v>
      </c>
      <c r="N495" s="2" t="s">
        <v>50</v>
      </c>
      <c r="O495" s="2">
        <v>9207</v>
      </c>
      <c r="P495" s="2" t="s">
        <v>51</v>
      </c>
      <c r="Q495" s="3">
        <v>0.84</v>
      </c>
      <c r="R495" s="2" t="s">
        <v>2202</v>
      </c>
    </row>
    <row r="496" spans="1:18" ht="15" customHeight="1" x14ac:dyDescent="0.25">
      <c r="A496" s="2">
        <v>495</v>
      </c>
      <c r="B496" s="2" t="s">
        <v>2469</v>
      </c>
      <c r="C496" s="2" t="s">
        <v>2067</v>
      </c>
      <c r="D496" s="2" t="s">
        <v>2125</v>
      </c>
      <c r="E496" s="2" t="s">
        <v>21</v>
      </c>
      <c r="F496" s="2" t="s">
        <v>22</v>
      </c>
      <c r="G496" s="2" t="s">
        <v>156</v>
      </c>
      <c r="H496" s="2" t="s">
        <v>2470</v>
      </c>
      <c r="I496" s="2">
        <v>6151500184</v>
      </c>
      <c r="J496" s="2" t="s">
        <v>1671</v>
      </c>
      <c r="K496" s="2" t="s">
        <v>2471</v>
      </c>
      <c r="L496" s="2">
        <v>7441446020</v>
      </c>
      <c r="M496" s="2" t="s">
        <v>2472</v>
      </c>
      <c r="N496" s="2" t="s">
        <v>50</v>
      </c>
      <c r="O496" s="2">
        <v>3379</v>
      </c>
      <c r="P496" s="2" t="s">
        <v>139</v>
      </c>
      <c r="Q496" s="3">
        <v>0.86</v>
      </c>
      <c r="R496" s="2" t="s">
        <v>78</v>
      </c>
    </row>
    <row r="497" spans="1:18" ht="15" customHeight="1" x14ac:dyDescent="0.25">
      <c r="A497" s="2">
        <v>496</v>
      </c>
      <c r="B497" s="2" t="s">
        <v>2473</v>
      </c>
      <c r="C497" s="2" t="s">
        <v>2067</v>
      </c>
      <c r="D497" s="2" t="s">
        <v>2094</v>
      </c>
      <c r="E497" s="2" t="s">
        <v>55</v>
      </c>
      <c r="F497" s="2" t="s">
        <v>22</v>
      </c>
      <c r="G497" s="2" t="s">
        <v>35</v>
      </c>
      <c r="H497" s="2" t="s">
        <v>2474</v>
      </c>
      <c r="I497" s="2">
        <v>8156762956</v>
      </c>
      <c r="J497" s="2" t="s">
        <v>2475</v>
      </c>
      <c r="K497" s="2" t="s">
        <v>2476</v>
      </c>
      <c r="L497" s="2">
        <v>8859674935</v>
      </c>
      <c r="M497" s="2" t="s">
        <v>2477</v>
      </c>
      <c r="N497" s="2" t="s">
        <v>107</v>
      </c>
      <c r="O497" s="2">
        <v>8312</v>
      </c>
      <c r="P497" s="2" t="s">
        <v>139</v>
      </c>
      <c r="Q497" s="3">
        <v>0.6</v>
      </c>
      <c r="R497" s="2" t="s">
        <v>1708</v>
      </c>
    </row>
    <row r="498" spans="1:18" ht="15" customHeight="1" x14ac:dyDescent="0.25">
      <c r="A498" s="2">
        <v>497</v>
      </c>
      <c r="B498" s="2" t="s">
        <v>2377</v>
      </c>
      <c r="C498" s="2" t="s">
        <v>2067</v>
      </c>
      <c r="D498" s="2" t="s">
        <v>2385</v>
      </c>
      <c r="E498" s="2" t="s">
        <v>55</v>
      </c>
      <c r="F498" s="2" t="s">
        <v>22</v>
      </c>
      <c r="G498" s="2" t="s">
        <v>45</v>
      </c>
      <c r="H498" s="2" t="s">
        <v>2478</v>
      </c>
      <c r="I498" s="2">
        <v>8196787722</v>
      </c>
      <c r="J498" s="2" t="s">
        <v>751</v>
      </c>
      <c r="K498" s="2" t="s">
        <v>207</v>
      </c>
      <c r="L498" s="2">
        <v>6182348704</v>
      </c>
      <c r="M498" s="2" t="s">
        <v>396</v>
      </c>
      <c r="N498" s="2" t="s">
        <v>60</v>
      </c>
      <c r="O498" s="2">
        <v>8178</v>
      </c>
      <c r="P498" s="2" t="s">
        <v>139</v>
      </c>
      <c r="Q498" s="3">
        <v>0.67</v>
      </c>
      <c r="R498" s="2" t="s">
        <v>42</v>
      </c>
    </row>
    <row r="499" spans="1:18" ht="15" customHeight="1" x14ac:dyDescent="0.25">
      <c r="A499" s="2">
        <v>498</v>
      </c>
      <c r="B499" s="2" t="s">
        <v>2479</v>
      </c>
      <c r="C499" s="2" t="s">
        <v>2067</v>
      </c>
      <c r="D499" s="2" t="s">
        <v>2088</v>
      </c>
      <c r="E499" s="2" t="s">
        <v>55</v>
      </c>
      <c r="F499" s="2" t="s">
        <v>34</v>
      </c>
      <c r="G499" s="2" t="s">
        <v>102</v>
      </c>
      <c r="H499" s="2" t="s">
        <v>1819</v>
      </c>
      <c r="I499" s="2">
        <v>6761732704</v>
      </c>
      <c r="J499" s="2" t="s">
        <v>2480</v>
      </c>
      <c r="K499" s="2" t="s">
        <v>1482</v>
      </c>
      <c r="L499" s="2">
        <v>7992706183</v>
      </c>
      <c r="M499" s="2" t="s">
        <v>2481</v>
      </c>
      <c r="N499" s="2" t="s">
        <v>289</v>
      </c>
      <c r="O499" s="2">
        <v>675</v>
      </c>
      <c r="P499" s="2" t="s">
        <v>77</v>
      </c>
      <c r="Q499" s="3">
        <v>0.84</v>
      </c>
      <c r="R499" s="2" t="s">
        <v>42</v>
      </c>
    </row>
    <row r="500" spans="1:18" ht="15" customHeight="1" x14ac:dyDescent="0.25">
      <c r="A500" s="2">
        <v>499</v>
      </c>
      <c r="B500" s="2" t="s">
        <v>2482</v>
      </c>
      <c r="C500" s="2" t="s">
        <v>2067</v>
      </c>
      <c r="D500" s="2" t="s">
        <v>2120</v>
      </c>
      <c r="E500" s="2" t="s">
        <v>55</v>
      </c>
      <c r="F500" s="2" t="s">
        <v>22</v>
      </c>
      <c r="G500" s="2" t="s">
        <v>35</v>
      </c>
      <c r="H500" s="2" t="s">
        <v>2483</v>
      </c>
      <c r="I500" s="2">
        <v>9632047514</v>
      </c>
      <c r="J500" s="2" t="s">
        <v>2484</v>
      </c>
      <c r="K500" s="2" t="s">
        <v>2485</v>
      </c>
      <c r="L500" s="2">
        <v>9283055765</v>
      </c>
      <c r="M500" s="2" t="s">
        <v>535</v>
      </c>
      <c r="N500" s="2" t="s">
        <v>271</v>
      </c>
      <c r="O500" s="2">
        <v>10451</v>
      </c>
      <c r="P500" s="2" t="s">
        <v>77</v>
      </c>
      <c r="Q500" s="3">
        <v>0.96</v>
      </c>
      <c r="R500" s="2" t="s">
        <v>78</v>
      </c>
    </row>
    <row r="501" spans="1:18" ht="15" customHeight="1" x14ac:dyDescent="0.25">
      <c r="A501" s="2">
        <v>500</v>
      </c>
      <c r="B501" s="2" t="s">
        <v>2486</v>
      </c>
      <c r="C501" s="2" t="s">
        <v>2067</v>
      </c>
      <c r="D501" s="2" t="s">
        <v>2174</v>
      </c>
      <c r="E501" s="2" t="s">
        <v>55</v>
      </c>
      <c r="F501" s="2" t="s">
        <v>34</v>
      </c>
      <c r="G501" s="2" t="s">
        <v>35</v>
      </c>
      <c r="H501" s="2" t="s">
        <v>2212</v>
      </c>
      <c r="I501" s="2">
        <v>6597203646</v>
      </c>
      <c r="J501" s="2" t="s">
        <v>2487</v>
      </c>
      <c r="K501" s="2" t="s">
        <v>933</v>
      </c>
      <c r="L501" s="2">
        <v>9161736645</v>
      </c>
      <c r="M501" s="2" t="s">
        <v>934</v>
      </c>
      <c r="N501" s="2" t="s">
        <v>50</v>
      </c>
      <c r="O501" s="2">
        <v>5252</v>
      </c>
      <c r="P501" s="2" t="s">
        <v>70</v>
      </c>
      <c r="Q501" s="3">
        <v>0.76</v>
      </c>
      <c r="R501" s="2" t="s">
        <v>1625</v>
      </c>
    </row>
  </sheetData>
  <conditionalFormatting sqref="F2:F501">
    <cfRule type="cellIs" dxfId="19" priority="14" operator="equal">
      <formula>"Government"</formula>
    </cfRule>
  </conditionalFormatting>
  <conditionalFormatting sqref="O2:O50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{1F3867FF-57B0-4119-865A-A4785F3941D0}</x14:id>
        </ext>
      </extLst>
    </cfRule>
  </conditionalFormatting>
  <conditionalFormatting sqref="P2:P501">
    <cfRule type="cellIs" dxfId="18" priority="2" operator="equal">
      <formula>"A++"</formula>
    </cfRule>
    <cfRule type="cellIs" dxfId="17" priority="3" operator="equal">
      <formula>"A+"</formula>
    </cfRule>
    <cfRule type="cellIs" dxfId="16" priority="4" operator="equal">
      <formula>"A"</formula>
    </cfRule>
    <cfRule type="cellIs" dxfId="15" priority="5" operator="equal">
      <formula>"B++"</formula>
    </cfRule>
    <cfRule type="cellIs" dxfId="14" priority="6" operator="equal">
      <formula>"B+"</formula>
    </cfRule>
    <cfRule type="cellIs" dxfId="13" priority="7" operator="equal">
      <formula>"B"</formula>
    </cfRule>
    <cfRule type="cellIs" dxfId="12" priority="8" operator="equal">
      <formula>"C"</formula>
    </cfRule>
    <cfRule type="cellIs" dxfId="11" priority="9" operator="equal">
      <formula>"A++"</formula>
    </cfRule>
    <cfRule type="cellIs" dxfId="10" priority="10" operator="equal">
      <formula>"A+"</formula>
    </cfRule>
    <cfRule type="cellIs" dxfId="9" priority="11" operator="equal">
      <formula>"C"</formula>
    </cfRule>
  </conditionalFormatting>
  <conditionalFormatting sqref="Q2:Q50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3867FF-57B0-4119-865A-A4785F3941D0}">
            <x14:dataBar axisPosition="none">
              <x14:cfvo type="min"/>
              <x14:cfvo type="max"/>
              <x14:negativeFillColor rgb="FF638EC6"/>
            </x14:dataBar>
          </x14:cfRule>
          <xm:sqref>O2:O501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zoomScaleNormal="100" workbookViewId="0">
      <selection activeCell="F12" sqref="F12"/>
    </sheetView>
  </sheetViews>
  <sheetFormatPr defaultColWidth="8.7109375" defaultRowHeight="15" x14ac:dyDescent="0.25"/>
  <cols>
    <col min="1" max="8" width="16" customWidth="1"/>
  </cols>
  <sheetData>
    <row r="1" spans="1:8" ht="26.25" customHeight="1" x14ac:dyDescent="0.25">
      <c r="A1" s="11" t="s">
        <v>2</v>
      </c>
      <c r="B1" s="11" t="s">
        <v>2488</v>
      </c>
      <c r="C1" s="11" t="s">
        <v>2489</v>
      </c>
      <c r="D1" s="11" t="s">
        <v>2490</v>
      </c>
      <c r="E1" s="11" t="s">
        <v>2491</v>
      </c>
      <c r="F1" s="11" t="s">
        <v>21</v>
      </c>
      <c r="G1" s="11" t="s">
        <v>33</v>
      </c>
      <c r="H1" s="11" t="s">
        <v>55</v>
      </c>
    </row>
    <row r="2" spans="1:8" ht="15" customHeight="1" x14ac:dyDescent="0.25">
      <c r="A2" s="12" t="s">
        <v>19</v>
      </c>
      <c r="B2" s="12">
        <v>100</v>
      </c>
      <c r="C2" s="12">
        <f>COUNTIF('College Database'!C2:C501,A2)</f>
        <v>100</v>
      </c>
      <c r="D2" s="12">
        <f>COUNTIFS('College Database'!C2:C501,A2,'College Database'!F2:F501,"Government")</f>
        <v>22</v>
      </c>
      <c r="E2" s="12">
        <f>COUNTIFS('College Database'!C2:C501,A2,'College Database'!F2:F501,"Private")</f>
        <v>78</v>
      </c>
      <c r="F2" s="12">
        <f>COUNTIFS('College Database'!C2:C501,A2,'College Database'!E2:E501,"Tier 1")</f>
        <v>29</v>
      </c>
      <c r="G2" s="12">
        <f>COUNTIFS('College Database'!C2:C501,A2,'College Database'!E2:E501,"Tier 2")</f>
        <v>37</v>
      </c>
      <c r="H2" s="12">
        <f>COUNTIFS('College Database'!C2:C501,A2,'College Database'!E2:E501,"Tier 3")</f>
        <v>34</v>
      </c>
    </row>
    <row r="3" spans="1:8" ht="15" customHeight="1" x14ac:dyDescent="0.25">
      <c r="A3" s="12" t="s">
        <v>619</v>
      </c>
      <c r="B3" s="12">
        <v>100</v>
      </c>
      <c r="C3" s="12">
        <f>COUNTIF('College Database'!C2:C501,A3)</f>
        <v>100</v>
      </c>
      <c r="D3" s="12">
        <f>COUNTIFS('College Database'!C2:C501,A3,'College Database'!F2:F501,"Government")</f>
        <v>27</v>
      </c>
      <c r="E3" s="12">
        <f>COUNTIFS('College Database'!C2:C501,A3,'College Database'!F2:F501,"Private")</f>
        <v>73</v>
      </c>
      <c r="F3" s="12">
        <f>COUNTIFS('College Database'!C2:C501,A3,'College Database'!E2:E501,"Tier 1")</f>
        <v>32</v>
      </c>
      <c r="G3" s="12">
        <f>COUNTIFS('College Database'!C2:C501,A3,'College Database'!E2:E501,"Tier 2")</f>
        <v>24</v>
      </c>
      <c r="H3" s="12">
        <f>COUNTIFS('College Database'!C2:C501,A3,'College Database'!E2:E501,"Tier 3")</f>
        <v>44</v>
      </c>
    </row>
    <row r="4" spans="1:8" ht="15" customHeight="1" x14ac:dyDescent="0.25">
      <c r="A4" s="12" t="s">
        <v>1141</v>
      </c>
      <c r="B4" s="12">
        <v>100</v>
      </c>
      <c r="C4" s="12">
        <f>COUNTIF('College Database'!C2:C501,A4)</f>
        <v>100</v>
      </c>
      <c r="D4" s="12">
        <f>COUNTIFS('College Database'!C2:C501,A4,'College Database'!F2:F501,"Government")</f>
        <v>22</v>
      </c>
      <c r="E4" s="12">
        <f>COUNTIFS('College Database'!C2:C501,A4,'College Database'!F2:F501,"Private")</f>
        <v>78</v>
      </c>
      <c r="F4" s="12">
        <f>COUNTIFS('College Database'!C2:C501,A4,'College Database'!E2:E501,"Tier 1")</f>
        <v>42</v>
      </c>
      <c r="G4" s="12">
        <f>COUNTIFS('College Database'!C2:C501,A4,'College Database'!E2:E501,"Tier 2")</f>
        <v>32</v>
      </c>
      <c r="H4" s="12">
        <f>COUNTIFS('College Database'!C2:C501,A4,'College Database'!E2:E501,"Tier 3")</f>
        <v>26</v>
      </c>
    </row>
    <row r="5" spans="1:8" ht="15" customHeight="1" x14ac:dyDescent="0.25">
      <c r="A5" s="12" t="s">
        <v>1614</v>
      </c>
      <c r="B5" s="12">
        <v>100</v>
      </c>
      <c r="C5" s="12">
        <f>COUNTIF('College Database'!C2:C501,A5)</f>
        <v>100</v>
      </c>
      <c r="D5" s="12">
        <f>COUNTIFS('College Database'!C2:C501,A5,'College Database'!F2:F501,"Government")</f>
        <v>27</v>
      </c>
      <c r="E5" s="12">
        <f>COUNTIFS('College Database'!C2:C501,A5,'College Database'!F2:F501,"Private")</f>
        <v>73</v>
      </c>
      <c r="F5" s="12">
        <f>COUNTIFS('College Database'!C2:C501,A5,'College Database'!E2:E501,"Tier 1")</f>
        <v>38</v>
      </c>
      <c r="G5" s="12">
        <f>COUNTIFS('College Database'!C2:C501,A5,'College Database'!E2:E501,"Tier 2")</f>
        <v>27</v>
      </c>
      <c r="H5" s="12">
        <f>COUNTIFS('College Database'!C2:C501,A5,'College Database'!E2:E501,"Tier 3")</f>
        <v>35</v>
      </c>
    </row>
    <row r="6" spans="1:8" ht="15" customHeight="1" x14ac:dyDescent="0.25">
      <c r="A6" s="12" t="s">
        <v>2067</v>
      </c>
      <c r="B6" s="12">
        <v>100</v>
      </c>
      <c r="C6" s="12">
        <f>COUNTIF('College Database'!C2:C501,A6)</f>
        <v>100</v>
      </c>
      <c r="D6" s="12">
        <f>COUNTIFS('College Database'!C2:C501,A6,'College Database'!F2:F501,"Government")</f>
        <v>31</v>
      </c>
      <c r="E6" s="12">
        <f>COUNTIFS('College Database'!C2:C501,A6,'College Database'!F2:F501,"Private")</f>
        <v>69</v>
      </c>
      <c r="F6" s="12">
        <f>COUNTIFS('College Database'!C2:C501,A6,'College Database'!E2:E501,"Tier 1")</f>
        <v>30</v>
      </c>
      <c r="G6" s="12">
        <f>COUNTIFS('College Database'!C2:C501,A6,'College Database'!E2:E501,"Tier 2")</f>
        <v>31</v>
      </c>
      <c r="H6" s="12">
        <f>COUNTIFS('College Database'!C2:C501,A6,'College Database'!E2:E501,"Tier 3")</f>
        <v>39</v>
      </c>
    </row>
    <row r="7" spans="1:8" ht="15" customHeight="1" x14ac:dyDescent="0.25">
      <c r="A7" s="15" t="s">
        <v>2492</v>
      </c>
      <c r="B7" s="12">
        <f t="shared" ref="B7:H7" si="0">SUM(B2:B6)</f>
        <v>500</v>
      </c>
      <c r="C7" s="12">
        <f t="shared" si="0"/>
        <v>500</v>
      </c>
      <c r="D7" s="12">
        <f t="shared" si="0"/>
        <v>129</v>
      </c>
      <c r="E7" s="12">
        <f t="shared" si="0"/>
        <v>371</v>
      </c>
      <c r="F7" s="12">
        <f t="shared" si="0"/>
        <v>171</v>
      </c>
      <c r="G7" s="12">
        <f t="shared" si="0"/>
        <v>151</v>
      </c>
      <c r="H7" s="12">
        <f t="shared" si="0"/>
        <v>178</v>
      </c>
    </row>
  </sheetData>
  <conditionalFormatting sqref="C2:C7">
    <cfRule type="cellIs" dxfId="8" priority="2" operator="notEqual">
      <formula>B2</formula>
    </cfRule>
    <cfRule type="cellIs" dxfId="7" priority="3" operator="equal">
      <formula>B2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opLeftCell="A9" zoomScaleNormal="100" workbookViewId="0">
      <selection activeCell="H7" sqref="D7:H21"/>
    </sheetView>
  </sheetViews>
  <sheetFormatPr defaultColWidth="8.7109375" defaultRowHeight="15" x14ac:dyDescent="0.25"/>
  <cols>
    <col min="1" max="4" width="16" customWidth="1"/>
  </cols>
  <sheetData>
    <row r="1" spans="1:4" ht="15" customHeight="1" x14ac:dyDescent="0.25">
      <c r="A1" s="11" t="s">
        <v>15</v>
      </c>
      <c r="B1" s="11" t="s">
        <v>2493</v>
      </c>
      <c r="C1" s="11" t="s">
        <v>2494</v>
      </c>
      <c r="D1" s="11" t="s">
        <v>2495</v>
      </c>
    </row>
    <row r="2" spans="1:4" ht="15" customHeight="1" x14ac:dyDescent="0.25">
      <c r="A2" s="12" t="s">
        <v>51</v>
      </c>
      <c r="B2" s="12">
        <f>COUNTIF('College Database'!P2:P501,A2)</f>
        <v>64</v>
      </c>
      <c r="C2" s="13">
        <f>AVERAGEIF('College Database'!P2:P501,A2,'College Database'!Q2:Q501)</f>
        <v>0.76140624999999984</v>
      </c>
      <c r="D2" s="14">
        <f>AVERAGEIF('College Database'!P2:P501,A2,'College Database'!O2:O501)</f>
        <v>5715.859375</v>
      </c>
    </row>
    <row r="3" spans="1:4" ht="15" customHeight="1" x14ac:dyDescent="0.25">
      <c r="A3" s="12" t="s">
        <v>61</v>
      </c>
      <c r="B3" s="12">
        <f>COUNTIF('College Database'!P2:P501,A3)</f>
        <v>56</v>
      </c>
      <c r="C3" s="13">
        <f>AVERAGEIF('College Database'!P2:P501,A3,'College Database'!Q2:Q501)</f>
        <v>0.77321428571428563</v>
      </c>
      <c r="D3" s="14">
        <f>AVERAGEIF('College Database'!P2:P501,A3,'College Database'!O2:O501)</f>
        <v>6262.1428571428569</v>
      </c>
    </row>
    <row r="4" spans="1:4" ht="15" customHeight="1" x14ac:dyDescent="0.25">
      <c r="A4" s="12" t="s">
        <v>70</v>
      </c>
      <c r="B4" s="12">
        <f>COUNTIF('College Database'!P2:P501,A4)</f>
        <v>71</v>
      </c>
      <c r="C4" s="13">
        <f>AVERAGEIF('College Database'!P2:P501,A4,'College Database'!Q2:Q501)</f>
        <v>0.76112676056338036</v>
      </c>
      <c r="D4" s="14">
        <f>AVERAGEIF('College Database'!P2:P501,A4,'College Database'!O2:O501)</f>
        <v>6589.8309859154933</v>
      </c>
    </row>
    <row r="5" spans="1:4" ht="15" customHeight="1" x14ac:dyDescent="0.25">
      <c r="A5" s="12" t="s">
        <v>77</v>
      </c>
      <c r="B5" s="12">
        <f>COUNTIF('College Database'!P2:P501,A5)</f>
        <v>79</v>
      </c>
      <c r="C5" s="13">
        <f>AVERAGEIF('College Database'!P2:P501,A5,'College Database'!Q2:Q501)</f>
        <v>0.77924050632911424</v>
      </c>
      <c r="D5" s="14">
        <f>AVERAGEIF('College Database'!P2:P501,A5,'College Database'!O2:O501)</f>
        <v>6675.1898734177212</v>
      </c>
    </row>
    <row r="6" spans="1:4" ht="15" customHeight="1" x14ac:dyDescent="0.25">
      <c r="A6" s="12" t="s">
        <v>139</v>
      </c>
      <c r="B6" s="12">
        <f>COUNTIF('College Database'!P2:P501,A6)</f>
        <v>75</v>
      </c>
      <c r="C6" s="13">
        <f>AVERAGEIF('College Database'!P2:P501,A6,'College Database'!Q2:Q501)</f>
        <v>0.75813333333333333</v>
      </c>
      <c r="D6" s="14">
        <f>AVERAGEIF('College Database'!P2:P501,A6,'College Database'!O2:O501)</f>
        <v>6876.92</v>
      </c>
    </row>
    <row r="7" spans="1:4" ht="15" customHeight="1" x14ac:dyDescent="0.25">
      <c r="A7" s="12" t="s">
        <v>29</v>
      </c>
      <c r="B7" s="12">
        <f>COUNTIF('College Database'!P2:P501,A7)</f>
        <v>75</v>
      </c>
      <c r="C7" s="13">
        <f>AVERAGEIF('College Database'!P2:P501,A7,'College Database'!Q2:Q501)</f>
        <v>0.77053333333333318</v>
      </c>
      <c r="D7" s="14">
        <f>AVERAGEIF('College Database'!P2:P501,A7,'College Database'!O2:O501)</f>
        <v>6064.5333333333338</v>
      </c>
    </row>
    <row r="8" spans="1:4" ht="15" customHeight="1" x14ac:dyDescent="0.25">
      <c r="A8" s="12" t="s">
        <v>41</v>
      </c>
      <c r="B8" s="12">
        <f>COUNTIF('College Database'!P2:P501,A8)</f>
        <v>80</v>
      </c>
      <c r="C8" s="13">
        <f>AVERAGEIF('College Database'!P2:P501,A8,'College Database'!Q2:Q501)</f>
        <v>0.77775000000000005</v>
      </c>
      <c r="D8" s="14">
        <f>AVERAGEIF('College Database'!P2:P501,A8,'College Database'!O2:O501)</f>
        <v>5970.8874999999998</v>
      </c>
    </row>
  </sheetData>
  <conditionalFormatting sqref="A2:A8">
    <cfRule type="cellIs" dxfId="6" priority="2" operator="equal">
      <formula>"A++"</formula>
    </cfRule>
    <cfRule type="cellIs" dxfId="5" priority="3" operator="equal">
      <formula>"A+"</formula>
    </cfRule>
    <cfRule type="cellIs" dxfId="4" priority="4" operator="equal">
      <formula>"A"</formula>
    </cfRule>
    <cfRule type="cellIs" dxfId="3" priority="5" operator="equal">
      <formula>"B++"</formula>
    </cfRule>
    <cfRule type="cellIs" dxfId="2" priority="6" operator="equal">
      <formula>"B+"</formula>
    </cfRule>
    <cfRule type="cellIs" dxfId="1" priority="7" operator="equal">
      <formula>"B"</formula>
    </cfRule>
    <cfRule type="cellIs" dxfId="0" priority="8" operator="equal">
      <formula>"C"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A2" zoomScaleNormal="100" workbookViewId="0">
      <selection activeCell="K9" sqref="K9"/>
    </sheetView>
  </sheetViews>
  <sheetFormatPr defaultColWidth="8.7109375" defaultRowHeight="15" x14ac:dyDescent="0.25"/>
  <cols>
    <col min="1" max="1" width="24" customWidth="1"/>
    <col min="2" max="2" width="19.5703125" bestFit="1" customWidth="1"/>
    <col min="3" max="3" width="2" customWidth="1"/>
    <col min="4" max="4" width="20" customWidth="1"/>
    <col min="5" max="5" width="19.28515625" customWidth="1"/>
    <col min="6" max="6" width="2" customWidth="1"/>
    <col min="7" max="7" width="22" customWidth="1"/>
    <col min="8" max="8" width="16.140625" customWidth="1"/>
    <col min="9" max="9" width="2" customWidth="1"/>
  </cols>
  <sheetData>
    <row r="1" spans="1:8" ht="19.5" x14ac:dyDescent="0.3">
      <c r="A1" s="4" t="s">
        <v>2496</v>
      </c>
    </row>
    <row r="3" spans="1:8" ht="16.5" x14ac:dyDescent="0.25">
      <c r="A3" s="5" t="s">
        <v>2497</v>
      </c>
      <c r="B3" s="6"/>
      <c r="D3" s="5" t="s">
        <v>2498</v>
      </c>
      <c r="E3" s="6"/>
      <c r="G3" s="5" t="s">
        <v>2499</v>
      </c>
      <c r="H3" s="6"/>
    </row>
    <row r="4" spans="1:8" x14ac:dyDescent="0.25">
      <c r="A4" s="7" t="s">
        <v>2</v>
      </c>
      <c r="B4" s="7" t="s">
        <v>2500</v>
      </c>
      <c r="D4" s="7" t="s">
        <v>4</v>
      </c>
      <c r="E4" s="7" t="s">
        <v>2500</v>
      </c>
      <c r="G4" s="7" t="s">
        <v>15</v>
      </c>
      <c r="H4" s="7" t="s">
        <v>2501</v>
      </c>
    </row>
    <row r="5" spans="1:8" x14ac:dyDescent="0.25">
      <c r="A5" s="8" t="s">
        <v>19</v>
      </c>
      <c r="B5" s="9">
        <f>COUNTIF('College Database'!C2:C501,"Tamil Nadu")</f>
        <v>100</v>
      </c>
      <c r="D5" s="8" t="s">
        <v>21</v>
      </c>
      <c r="E5" s="9">
        <f>COUNTIF('College Database'!E2:E501,"Tier 1")</f>
        <v>171</v>
      </c>
      <c r="G5" s="8" t="s">
        <v>70</v>
      </c>
      <c r="H5" s="9">
        <f>AVERAGEIF('College Database'!P2:P501,"A++",'College Database'!Q2:Q501)</f>
        <v>0.76112676056338036</v>
      </c>
    </row>
    <row r="6" spans="1:8" x14ac:dyDescent="0.25">
      <c r="A6" s="8" t="s">
        <v>619</v>
      </c>
      <c r="B6" s="9">
        <f>COUNTIF('College Database'!C2:C501,"Karnataka")</f>
        <v>100</v>
      </c>
      <c r="D6" s="8" t="s">
        <v>33</v>
      </c>
      <c r="E6" s="9">
        <f>COUNTIF('College Database'!E2:E501,"Tier 2")</f>
        <v>151</v>
      </c>
      <c r="G6" s="8" t="s">
        <v>61</v>
      </c>
      <c r="H6" s="10">
        <f>AVERAGEIF('College Database'!P2:P501,"A+",'College Database'!Q2:Q501)</f>
        <v>0.77321428571428563</v>
      </c>
    </row>
    <row r="7" spans="1:8" x14ac:dyDescent="0.25">
      <c r="A7" s="8" t="s">
        <v>1141</v>
      </c>
      <c r="B7" s="9">
        <f>COUNTIF('College Database'!C2:C501,"Andhra Pradesh")</f>
        <v>100</v>
      </c>
      <c r="D7" s="8" t="s">
        <v>55</v>
      </c>
      <c r="E7" s="9">
        <f>COUNTIF('College Database'!E2:E501,"Tier 3")</f>
        <v>178</v>
      </c>
      <c r="G7" s="8" t="s">
        <v>51</v>
      </c>
      <c r="H7" s="10">
        <f>AVERAGEIF('College Database'!P2:P501,"A",'College Database'!Q2:Q501)</f>
        <v>0.76140624999999984</v>
      </c>
    </row>
    <row r="8" spans="1:8" x14ac:dyDescent="0.25">
      <c r="A8" s="8" t="s">
        <v>1614</v>
      </c>
      <c r="B8" s="9">
        <f>COUNTIF('College Database'!C2:C501,"Telangana")</f>
        <v>100</v>
      </c>
      <c r="D8" s="6"/>
      <c r="E8" s="6"/>
      <c r="G8" s="8" t="s">
        <v>29</v>
      </c>
      <c r="H8" s="10">
        <f>AVERAGEIF('College Database'!P2:P501,"B++",'College Database'!Q2:Q501)</f>
        <v>0.77053333333333318</v>
      </c>
    </row>
    <row r="9" spans="1:8" x14ac:dyDescent="0.25">
      <c r="A9" s="8" t="s">
        <v>2067</v>
      </c>
      <c r="B9" s="9">
        <f>COUNTIF('College Database'!C2:C501,"Kerala")</f>
        <v>100</v>
      </c>
      <c r="D9" s="6"/>
      <c r="E9" s="6"/>
      <c r="G9" s="8" t="s">
        <v>139</v>
      </c>
      <c r="H9" s="10">
        <f>AVERAGEIF('College Database'!P2:P501,"B+",'College Database'!Q2:Q501)</f>
        <v>0.75813333333333333</v>
      </c>
    </row>
    <row r="10" spans="1:8" x14ac:dyDescent="0.25">
      <c r="G10" s="8" t="s">
        <v>77</v>
      </c>
      <c r="H10" s="10">
        <f>AVERAGEIF('College Database'!P2:P501,"B",'College Database'!Q2:Q501)</f>
        <v>0.77924050632911424</v>
      </c>
    </row>
    <row r="11" spans="1:8" x14ac:dyDescent="0.25">
      <c r="G11" s="8" t="s">
        <v>41</v>
      </c>
      <c r="H11" s="10">
        <f>AVERAGEIF('College Database'!P2:P501,"C",'College Database'!Q2:Q501)</f>
        <v>0.77775000000000005</v>
      </c>
    </row>
    <row r="12" spans="1:8" ht="16.5" x14ac:dyDescent="0.25">
      <c r="A12" s="5" t="s">
        <v>2502</v>
      </c>
      <c r="B12" s="6"/>
      <c r="D12" s="5" t="s">
        <v>2503</v>
      </c>
      <c r="E12" s="6"/>
      <c r="G12" s="5" t="s">
        <v>2504</v>
      </c>
      <c r="H12" s="6"/>
    </row>
    <row r="13" spans="1:8" x14ac:dyDescent="0.25">
      <c r="A13" s="7" t="s">
        <v>6</v>
      </c>
      <c r="B13" s="7" t="s">
        <v>2493</v>
      </c>
      <c r="D13" s="7" t="s">
        <v>4</v>
      </c>
      <c r="E13" s="7" t="s">
        <v>2505</v>
      </c>
      <c r="G13" s="7" t="s">
        <v>2506</v>
      </c>
      <c r="H13" s="7" t="s">
        <v>2493</v>
      </c>
    </row>
    <row r="14" spans="1:8" x14ac:dyDescent="0.25">
      <c r="A14" s="8" t="s">
        <v>23</v>
      </c>
      <c r="B14" s="9">
        <f>COUNTIF('College Database'!G2:G501,"Autonomous College")</f>
        <v>104</v>
      </c>
      <c r="D14" s="8" t="s">
        <v>21</v>
      </c>
      <c r="E14" s="9">
        <f>AVERAGEIF('College Database'!E2:E501,"Tier 1",'College Database'!O2:O501)</f>
        <v>6287.5964912280706</v>
      </c>
      <c r="G14" s="8" t="s">
        <v>34</v>
      </c>
      <c r="H14" s="9">
        <f>COUNTIF('College Database'!F2:F501,"Government")</f>
        <v>129</v>
      </c>
    </row>
    <row r="15" spans="1:8" x14ac:dyDescent="0.25">
      <c r="A15" s="8" t="s">
        <v>35</v>
      </c>
      <c r="B15" s="9">
        <f>COUNTIF('College Database'!G2:G501,"University")</f>
        <v>102</v>
      </c>
      <c r="D15" s="8" t="s">
        <v>33</v>
      </c>
      <c r="E15" s="9">
        <f>AVERAGEIF('College Database'!E2:E501,"Tier 2",'College Database'!O2:O501)</f>
        <v>6249.3178807947024</v>
      </c>
      <c r="G15" s="8" t="s">
        <v>22</v>
      </c>
      <c r="H15" s="9">
        <f>COUNTIF('College Database'!F2:F501,"Private")</f>
        <v>371</v>
      </c>
    </row>
    <row r="16" spans="1:8" x14ac:dyDescent="0.25">
      <c r="A16" s="8" t="s">
        <v>45</v>
      </c>
      <c r="B16" s="9">
        <f>COUNTIF('College Database'!G2:G501,"Autonomous Institution")</f>
        <v>90</v>
      </c>
      <c r="D16" s="8" t="s">
        <v>55</v>
      </c>
      <c r="E16" s="9">
        <f>AVERAGEIF('College Database'!E2:E501,"Tier 3",'College Database'!O2:O501)</f>
        <v>6411.0505617977524</v>
      </c>
      <c r="G16" s="6"/>
      <c r="H16" s="6"/>
    </row>
    <row r="17" spans="1:2" x14ac:dyDescent="0.25">
      <c r="A17" s="8" t="s">
        <v>102</v>
      </c>
      <c r="B17" s="9">
        <f>COUNTIF('College Database'!G2:G501,"Deemed University")</f>
        <v>89</v>
      </c>
    </row>
    <row r="18" spans="1:2" x14ac:dyDescent="0.25">
      <c r="A18" s="8" t="s">
        <v>156</v>
      </c>
      <c r="B18" s="9">
        <f>COUNTIF('College Database'!G2:G501,"Affiliated College")</f>
        <v>115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ADDA-4965-4D65-80A6-861640A93FC8}">
  <dimension ref="A1"/>
  <sheetViews>
    <sheetView tabSelected="1" zoomScale="89" zoomScaleNormal="89" workbookViewId="0">
      <selection activeCell="P22" sqref="P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College Database</vt:lpstr>
      <vt:lpstr>State Summary</vt:lpstr>
      <vt:lpstr>Count</vt:lpstr>
      <vt:lpstr>Dashboard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S0761982</cp:lastModifiedBy>
  <cp:revision>1</cp:revision>
  <dcterms:created xsi:type="dcterms:W3CDTF">2026-06-12T16:41:32Z</dcterms:created>
  <dcterms:modified xsi:type="dcterms:W3CDTF">2026-06-13T06:46:54Z</dcterms:modified>
  <dc:language>en-US</dc:language>
</cp:coreProperties>
</file>